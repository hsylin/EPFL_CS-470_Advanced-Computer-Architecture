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man\Desktop\"/>
    </mc:Choice>
  </mc:AlternateContent>
  <xr:revisionPtr revIDLastSave="0" documentId="13_ncr:1_{E326814F-372B-438C-A938-0AD7894BF49E}" xr6:coauthVersionLast="47" xr6:coauthVersionMax="47" xr10:uidLastSave="{00000000-0000-0000-0000-000000000000}"/>
  <bookViews>
    <workbookView xWindow="-96" yWindow="-96" windowWidth="23232" windowHeight="13872" activeTab="5" xr2:uid="{01D50691-0913-4E9E-8E6E-5853504AADCB}"/>
  </bookViews>
  <sheets>
    <sheet name="Question 1" sheetId="1" r:id="rId1"/>
    <sheet name="Question 2" sheetId="2" r:id="rId2"/>
    <sheet name="Question 3" sheetId="3" r:id="rId3"/>
    <sheet name="Question 4" sheetId="5" r:id="rId4"/>
    <sheet name="Question 5" sheetId="4" r:id="rId5"/>
    <sheet name="Question 6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7" l="1"/>
  <c r="L23" i="7"/>
  <c r="L24" i="7"/>
  <c r="L25" i="7"/>
  <c r="L26" i="7"/>
  <c r="L21" i="7"/>
  <c r="H20" i="7"/>
  <c r="I20" i="7"/>
  <c r="J20" i="7"/>
  <c r="K20" i="7"/>
  <c r="H21" i="7"/>
  <c r="I21" i="7"/>
  <c r="J21" i="7"/>
  <c r="K21" i="7"/>
  <c r="H22" i="7"/>
  <c r="I22" i="7"/>
  <c r="J22" i="7"/>
  <c r="K22" i="7"/>
  <c r="H23" i="7"/>
  <c r="I23" i="7"/>
  <c r="J23" i="7"/>
  <c r="K23" i="7"/>
  <c r="H24" i="7"/>
  <c r="I24" i="7"/>
  <c r="J24" i="7"/>
  <c r="K24" i="7"/>
  <c r="H25" i="7"/>
  <c r="I25" i="7"/>
  <c r="J25" i="7"/>
  <c r="K25" i="7"/>
  <c r="H26" i="7"/>
  <c r="I26" i="7"/>
  <c r="J26" i="7"/>
  <c r="K26" i="7"/>
  <c r="H27" i="7"/>
  <c r="I27" i="7"/>
  <c r="J27" i="7"/>
  <c r="K27" i="7"/>
  <c r="H28" i="7"/>
  <c r="I28" i="7"/>
  <c r="J28" i="7"/>
  <c r="K28" i="7"/>
  <c r="H29" i="7"/>
  <c r="I29" i="7"/>
  <c r="J29" i="7"/>
  <c r="K29" i="7"/>
  <c r="H30" i="7"/>
  <c r="I30" i="7"/>
  <c r="J30" i="7"/>
  <c r="K30" i="7"/>
  <c r="H31" i="7"/>
  <c r="I31" i="7"/>
  <c r="J31" i="7"/>
  <c r="K31" i="7"/>
  <c r="H32" i="7"/>
  <c r="I32" i="7"/>
  <c r="J32" i="7"/>
  <c r="K32" i="7"/>
  <c r="I19" i="7"/>
  <c r="J19" i="7"/>
  <c r="K19" i="7"/>
  <c r="H19" i="7"/>
  <c r="C37" i="3"/>
  <c r="C38" i="3"/>
  <c r="C39" i="3"/>
  <c r="C40" i="3"/>
  <c r="C41" i="3"/>
  <c r="C36" i="3"/>
  <c r="C27" i="3"/>
  <c r="C28" i="3"/>
  <c r="C29" i="3"/>
  <c r="C30" i="3"/>
  <c r="C31" i="3"/>
  <c r="C32" i="3"/>
  <c r="C33" i="3"/>
  <c r="C26" i="3"/>
  <c r="H4" i="5"/>
  <c r="D5" i="5"/>
  <c r="E5" i="5"/>
  <c r="C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Roman PACCAUD</author>
  </authors>
  <commentList>
    <comment ref="E6" authorId="0" shapeId="0" xr:uid="{B11890AA-ECD6-48B9-A991-9DE44C19C215}">
      <text>
        <r>
          <rPr>
            <sz val="9"/>
            <color indexed="81"/>
            <rFont val="Tahoma"/>
            <family val="2"/>
          </rPr>
          <t>Placed here (and not in 2) because it should be part of the loop</t>
        </r>
      </text>
    </comment>
  </commentList>
</comments>
</file>

<file path=xl/sharedStrings.xml><?xml version="1.0" encoding="utf-8"?>
<sst xmlns="http://schemas.openxmlformats.org/spreadsheetml/2006/main" count="805" uniqueCount="153">
  <si>
    <t>Instruction address</t>
  </si>
  <si>
    <t>ID</t>
  </si>
  <si>
    <t>Instruction</t>
  </si>
  <si>
    <t>Latency</t>
  </si>
  <si>
    <t>Destination register</t>
  </si>
  <si>
    <t>True dependencies</t>
  </si>
  <si>
    <t>False dependencies</t>
  </si>
  <si>
    <t>Local</t>
  </si>
  <si>
    <t>Interloop</t>
  </si>
  <si>
    <t>Loop Invariant</t>
  </si>
  <si>
    <t>Post Loop</t>
  </si>
  <si>
    <t>Dependency Table</t>
  </si>
  <si>
    <t>A</t>
  </si>
  <si>
    <t>B</t>
  </si>
  <si>
    <t>C</t>
  </si>
  <si>
    <t>D</t>
  </si>
  <si>
    <t>E</t>
  </si>
  <si>
    <t>F</t>
  </si>
  <si>
    <t>G</t>
  </si>
  <si>
    <t>H</t>
  </si>
  <si>
    <t>J</t>
  </si>
  <si>
    <t>I</t>
  </si>
  <si>
    <t>K</t>
  </si>
  <si>
    <t>L</t>
  </si>
  <si>
    <t>M</t>
  </si>
  <si>
    <t>N</t>
  </si>
  <si>
    <t>O</t>
  </si>
  <si>
    <t>LC</t>
  </si>
  <si>
    <t>x2</t>
  </si>
  <si>
    <t>x3</t>
  </si>
  <si>
    <t>x4</t>
  </si>
  <si>
    <t>x5</t>
  </si>
  <si>
    <t>x6</t>
  </si>
  <si>
    <t>-</t>
  </si>
  <si>
    <t>x2 : (B, H')</t>
  </si>
  <si>
    <t>x6 : G'</t>
  </si>
  <si>
    <t>x4 : D / x5 : E</t>
  </si>
  <si>
    <t>x6 : F</t>
  </si>
  <si>
    <t>x3 : (C, I')</t>
  </si>
  <si>
    <t>LC : (A, J')</t>
  </si>
  <si>
    <t>x2 : H</t>
  </si>
  <si>
    <t>x3 : I</t>
  </si>
  <si>
    <t>x4 : F</t>
  </si>
  <si>
    <t>x7</t>
  </si>
  <si>
    <t>x7 : K</t>
  </si>
  <si>
    <t>x2 : L / x4 : M</t>
  </si>
  <si>
    <t>x6 : G</t>
  </si>
  <si>
    <t>x6 : N</t>
  </si>
  <si>
    <t>ALU 1</t>
  </si>
  <si>
    <t>ALU 2</t>
  </si>
  <si>
    <t>Memory Unit</t>
  </si>
  <si>
    <t>Branch Unit</t>
  </si>
  <si>
    <t>J : loop 2</t>
  </si>
  <si>
    <t>nop</t>
  </si>
  <si>
    <t>mov x2, 0x1000</t>
  </si>
  <si>
    <t>mov x3, 0x2000</t>
  </si>
  <si>
    <t>ld x4, 0(x2)</t>
  </si>
  <si>
    <t>ld x5, 1(x2)</t>
  </si>
  <si>
    <t>add x6, x4, x5</t>
  </si>
  <si>
    <t>st x6, 0(x3)</t>
  </si>
  <si>
    <t>addi x2, x2, 1</t>
  </si>
  <si>
    <t>addi x3, x3, 1</t>
  </si>
  <si>
    <t>loop 3</t>
  </si>
  <si>
    <t>mov x7, 0x2000</t>
  </si>
  <si>
    <t>ld x2, 0(x3)</t>
  </si>
  <si>
    <t>ld x4, 0(x7)</t>
  </si>
  <si>
    <t>add x6, x2, x4</t>
  </si>
  <si>
    <t>Static scheduling without register renaming (no pipeline)</t>
  </si>
  <si>
    <t>Old Instruction</t>
  </si>
  <si>
    <t>New Instruction</t>
  </si>
  <si>
    <t>x1</t>
  </si>
  <si>
    <t>mov x1, 0x1000</t>
  </si>
  <si>
    <t>mov x2, 0x2000</t>
  </si>
  <si>
    <t>ld x3, 0(x1)</t>
  </si>
  <si>
    <t>ld x4, 1(x1)</t>
  </si>
  <si>
    <t>add x5, x3, x4</t>
  </si>
  <si>
    <t>addi x6, x1, 1</t>
  </si>
  <si>
    <t>addi x7, x2, 1</t>
  </si>
  <si>
    <t>x8</t>
  </si>
  <si>
    <t>mov x8, 0x2000</t>
  </si>
  <si>
    <t>x9</t>
  </si>
  <si>
    <t>x10</t>
  </si>
  <si>
    <t>ld x10, 0(x8)</t>
  </si>
  <si>
    <t>x11</t>
  </si>
  <si>
    <t>Old Destination Register</t>
  </si>
  <si>
    <t>add x11, x9, x10</t>
  </si>
  <si>
    <t>st x11, 0(x7)</t>
  </si>
  <si>
    <t>New Destination Register</t>
  </si>
  <si>
    <t>Instructions to add before J</t>
  </si>
  <si>
    <t>mov x1, x6</t>
  </si>
  <si>
    <t>mov x2, x7</t>
  </si>
  <si>
    <t>Y</t>
  </si>
  <si>
    <t>Z</t>
  </si>
  <si>
    <t>Destination Register</t>
  </si>
  <si>
    <t>True dependency</t>
  </si>
  <si>
    <t>x3 : D / x4 : E</t>
  </si>
  <si>
    <t>x6 : H</t>
  </si>
  <si>
    <t>x7 : I</t>
  </si>
  <si>
    <t>x8 : K</t>
  </si>
  <si>
    <t>x9 : L / x10 : M</t>
  </si>
  <si>
    <t>x11 : N</t>
  </si>
  <si>
    <t>st x5, 0(x2)</t>
  </si>
  <si>
    <t>x5 : F</t>
  </si>
  <si>
    <t>Initialisation Interval</t>
  </si>
  <si>
    <t>U</t>
  </si>
  <si>
    <t>Units</t>
  </si>
  <si>
    <t>N/U</t>
  </si>
  <si>
    <t>ALU</t>
  </si>
  <si>
    <t>Memory</t>
  </si>
  <si>
    <t>Branch</t>
  </si>
  <si>
    <t>Pipelined static schedule without register renaming</t>
  </si>
  <si>
    <t>Stage</t>
  </si>
  <si>
    <t>--</t>
  </si>
  <si>
    <t>x32</t>
  </si>
  <si>
    <t>x35</t>
  </si>
  <si>
    <t>x38</t>
  </si>
  <si>
    <t>x41</t>
  </si>
  <si>
    <t>x44</t>
  </si>
  <si>
    <t>Base Rotating Register</t>
  </si>
  <si>
    <t>Loop instructions with a destination register</t>
  </si>
  <si>
    <t>Other instructions with different destination registers</t>
  </si>
  <si>
    <t>mov x41(+1, +0), 0x1000</t>
  </si>
  <si>
    <t>mov x44(+1, +0), 0x2000</t>
  </si>
  <si>
    <t>ld x35, 1(x41(+1, +0))</t>
  </si>
  <si>
    <t>ld x32, 0(x41(+1, +0))</t>
  </si>
  <si>
    <t>add x38, x32(+0, +1), x35(+0, +1)</t>
  </si>
  <si>
    <t>st x38(+0, +0), 0(x44(+1, +1))</t>
  </si>
  <si>
    <t>addi x41, x41(+1, +0), 1</t>
  </si>
  <si>
    <t>addi x44, x44(+1, +0), 1</t>
  </si>
  <si>
    <t>loop 2</t>
  </si>
  <si>
    <t>mov x1, 0x2000</t>
  </si>
  <si>
    <t>ld x2, 0(x44(+0, +1))</t>
  </si>
  <si>
    <t>add x4, x2, x3</t>
  </si>
  <si>
    <t>st x4, 0(x44(+0, +1))</t>
  </si>
  <si>
    <t>mov x42, 0x1000</t>
  </si>
  <si>
    <t>mov x45, 0x2000</t>
  </si>
  <si>
    <t>ld x32, 0(x42)</t>
  </si>
  <si>
    <t>ld x35, 1(x42)</t>
  </si>
  <si>
    <t>add x38, x33, x36</t>
  </si>
  <si>
    <t>st x38, 0(x46)</t>
  </si>
  <si>
    <t>addi x41, x42, 1</t>
  </si>
  <si>
    <t>addi x44, x45, 1</t>
  </si>
  <si>
    <t>ld x2, 0(x45)</t>
  </si>
  <si>
    <t>st x4, 0(x45)</t>
  </si>
  <si>
    <t>ld x9, 0(x7)</t>
  </si>
  <si>
    <t>x1 : (B, Y')</t>
  </si>
  <si>
    <t>x2 : (C, Z')</t>
  </si>
  <si>
    <t>Anti dependency</t>
  </si>
  <si>
    <t>Output dependency</t>
  </si>
  <si>
    <t>Static scheduling with register renaming (no loop pipelining)</t>
  </si>
  <si>
    <t>Pipelined static schedule with register renaming</t>
  </si>
  <si>
    <t>(Question 5) Pipelined static schedule without register renaming</t>
  </si>
  <si>
    <t>mov LC,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</si>
</sst>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sz val="11"/>
      <color theme="2" tint="-0.249977111117893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1"/>
      <color theme="8"/>
      <name val="Aptos Narrow"/>
      <family val="2"/>
      <scheme val="minor"/>
    </font>
    <font>
      <sz val="11"/>
      <color theme="2" tint="-9.9978637043366805E-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0" fillId="0" borderId="0" xfId="0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2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0" xfId="0" quotePrefix="1" applyFont="1" applyBorder="1" applyAlignment="1">
      <alignment horizontal="center" vertical="center"/>
    </xf>
    <xf numFmtId="0" fontId="6" fillId="0" borderId="15" xfId="0" quotePrefix="1" applyFont="1" applyBorder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quotePrefix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quotePrefix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3" borderId="4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4DDB9-BD37-4621-A8AB-A7C90378E021}">
  <dimension ref="B1:L19"/>
  <sheetViews>
    <sheetView workbookViewId="0">
      <selection activeCell="D6" sqref="D6"/>
    </sheetView>
  </sheetViews>
  <sheetFormatPr baseColWidth="10" defaultRowHeight="14.4" x14ac:dyDescent="0.55000000000000004"/>
  <cols>
    <col min="1" max="3" width="10.9453125" style="1"/>
    <col min="4" max="4" width="18.47265625" style="1" customWidth="1"/>
    <col min="5" max="6" width="10.9453125" style="1"/>
    <col min="7" max="12" width="17.578125" style="1" customWidth="1"/>
    <col min="13" max="16384" width="10.9453125" style="1"/>
  </cols>
  <sheetData>
    <row r="1" spans="2:12" ht="14.7" thickBot="1" x14ac:dyDescent="0.6"/>
    <row r="2" spans="2:12" x14ac:dyDescent="0.55000000000000004">
      <c r="B2" s="115" t="s">
        <v>11</v>
      </c>
      <c r="C2" s="116"/>
      <c r="D2" s="116"/>
      <c r="E2" s="116"/>
      <c r="F2" s="116"/>
      <c r="G2" s="116"/>
      <c r="H2" s="116"/>
      <c r="I2" s="116"/>
      <c r="J2" s="116"/>
      <c r="K2" s="116"/>
      <c r="L2" s="117"/>
    </row>
    <row r="3" spans="2:12" ht="15" customHeight="1" x14ac:dyDescent="0.55000000000000004">
      <c r="B3" s="118" t="s">
        <v>0</v>
      </c>
      <c r="C3" s="113" t="s">
        <v>1</v>
      </c>
      <c r="D3" s="113" t="s">
        <v>2</v>
      </c>
      <c r="E3" s="113" t="s">
        <v>3</v>
      </c>
      <c r="F3" s="113" t="s">
        <v>4</v>
      </c>
      <c r="G3" s="113" t="s">
        <v>5</v>
      </c>
      <c r="H3" s="113"/>
      <c r="I3" s="113"/>
      <c r="J3" s="113"/>
      <c r="K3" s="113" t="s">
        <v>6</v>
      </c>
      <c r="L3" s="114"/>
    </row>
    <row r="4" spans="2:12" ht="15" customHeight="1" x14ac:dyDescent="0.55000000000000004">
      <c r="B4" s="118"/>
      <c r="C4" s="113"/>
      <c r="D4" s="113"/>
      <c r="E4" s="113"/>
      <c r="F4" s="113"/>
      <c r="G4" s="2" t="s">
        <v>7</v>
      </c>
      <c r="H4" s="2" t="s">
        <v>8</v>
      </c>
      <c r="I4" s="2" t="s">
        <v>9</v>
      </c>
      <c r="J4" s="2" t="s">
        <v>10</v>
      </c>
      <c r="K4" s="2" t="s">
        <v>147</v>
      </c>
      <c r="L4" s="4" t="s">
        <v>148</v>
      </c>
    </row>
    <row r="5" spans="2:12" x14ac:dyDescent="0.55000000000000004">
      <c r="B5" s="5">
        <v>0</v>
      </c>
      <c r="C5" s="3" t="s">
        <v>12</v>
      </c>
      <c r="D5" s="3" t="s">
        <v>152</v>
      </c>
      <c r="E5" s="3">
        <v>1</v>
      </c>
      <c r="F5" s="3" t="s">
        <v>27</v>
      </c>
      <c r="G5" s="3" t="s">
        <v>33</v>
      </c>
      <c r="H5" s="3" t="s">
        <v>33</v>
      </c>
      <c r="I5" s="3" t="s">
        <v>33</v>
      </c>
      <c r="J5" s="3" t="s">
        <v>33</v>
      </c>
      <c r="K5" s="3" t="s">
        <v>33</v>
      </c>
      <c r="L5" s="6" t="s">
        <v>33</v>
      </c>
    </row>
    <row r="6" spans="2:12" x14ac:dyDescent="0.55000000000000004">
      <c r="B6" s="5">
        <v>1</v>
      </c>
      <c r="C6" s="3" t="s">
        <v>13</v>
      </c>
      <c r="D6" s="3" t="s">
        <v>54</v>
      </c>
      <c r="E6" s="3">
        <v>1</v>
      </c>
      <c r="F6" s="3" t="s">
        <v>28</v>
      </c>
      <c r="G6" s="3" t="s">
        <v>33</v>
      </c>
      <c r="H6" s="3" t="s">
        <v>33</v>
      </c>
      <c r="I6" s="3" t="s">
        <v>33</v>
      </c>
      <c r="J6" s="3" t="s">
        <v>33</v>
      </c>
      <c r="K6" s="3" t="s">
        <v>33</v>
      </c>
      <c r="L6" s="6" t="s">
        <v>33</v>
      </c>
    </row>
    <row r="7" spans="2:12" ht="14.7" thickBot="1" x14ac:dyDescent="0.6">
      <c r="B7" s="63">
        <v>2</v>
      </c>
      <c r="C7" s="64" t="s">
        <v>14</v>
      </c>
      <c r="D7" s="64" t="s">
        <v>55</v>
      </c>
      <c r="E7" s="64">
        <v>1</v>
      </c>
      <c r="F7" s="64" t="s">
        <v>29</v>
      </c>
      <c r="G7" s="64" t="s">
        <v>33</v>
      </c>
      <c r="H7" s="64" t="s">
        <v>33</v>
      </c>
      <c r="I7" s="64" t="s">
        <v>33</v>
      </c>
      <c r="J7" s="64" t="s">
        <v>33</v>
      </c>
      <c r="K7" s="64" t="s">
        <v>33</v>
      </c>
      <c r="L7" s="65" t="s">
        <v>33</v>
      </c>
    </row>
    <row r="8" spans="2:12" ht="14.7" thickTop="1" x14ac:dyDescent="0.55000000000000004">
      <c r="B8" s="60">
        <v>3</v>
      </c>
      <c r="C8" s="61" t="s">
        <v>15</v>
      </c>
      <c r="D8" s="61" t="s">
        <v>56</v>
      </c>
      <c r="E8" s="61">
        <v>2</v>
      </c>
      <c r="F8" s="61" t="s">
        <v>30</v>
      </c>
      <c r="G8" s="61" t="s">
        <v>33</v>
      </c>
      <c r="H8" s="61" t="s">
        <v>34</v>
      </c>
      <c r="I8" s="61" t="s">
        <v>33</v>
      </c>
      <c r="J8" s="61" t="s">
        <v>33</v>
      </c>
      <c r="K8" s="61" t="s">
        <v>33</v>
      </c>
      <c r="L8" s="62" t="s">
        <v>33</v>
      </c>
    </row>
    <row r="9" spans="2:12" x14ac:dyDescent="0.55000000000000004">
      <c r="B9" s="5">
        <v>4</v>
      </c>
      <c r="C9" s="3" t="s">
        <v>16</v>
      </c>
      <c r="D9" s="3" t="s">
        <v>57</v>
      </c>
      <c r="E9" s="3">
        <v>2</v>
      </c>
      <c r="F9" s="3" t="s">
        <v>31</v>
      </c>
      <c r="G9" s="3" t="s">
        <v>33</v>
      </c>
      <c r="H9" s="3" t="s">
        <v>34</v>
      </c>
      <c r="I9" s="3" t="s">
        <v>33</v>
      </c>
      <c r="J9" s="3" t="s">
        <v>33</v>
      </c>
      <c r="K9" s="3" t="s">
        <v>33</v>
      </c>
      <c r="L9" s="6" t="s">
        <v>33</v>
      </c>
    </row>
    <row r="10" spans="2:12" x14ac:dyDescent="0.55000000000000004">
      <c r="B10" s="5">
        <v>5</v>
      </c>
      <c r="C10" s="3" t="s">
        <v>17</v>
      </c>
      <c r="D10" s="3" t="s">
        <v>58</v>
      </c>
      <c r="E10" s="3">
        <v>2</v>
      </c>
      <c r="F10" s="3" t="s">
        <v>32</v>
      </c>
      <c r="G10" s="3" t="s">
        <v>36</v>
      </c>
      <c r="H10" s="3" t="s">
        <v>33</v>
      </c>
      <c r="I10" s="3" t="s">
        <v>33</v>
      </c>
      <c r="J10" s="3" t="s">
        <v>33</v>
      </c>
      <c r="K10" s="3" t="s">
        <v>35</v>
      </c>
      <c r="L10" s="6" t="s">
        <v>33</v>
      </c>
    </row>
    <row r="11" spans="2:12" x14ac:dyDescent="0.55000000000000004">
      <c r="B11" s="5">
        <v>6</v>
      </c>
      <c r="C11" s="3" t="s">
        <v>18</v>
      </c>
      <c r="D11" s="3" t="s">
        <v>59</v>
      </c>
      <c r="E11" s="3">
        <v>2</v>
      </c>
      <c r="F11" s="3" t="s">
        <v>33</v>
      </c>
      <c r="G11" s="3" t="s">
        <v>37</v>
      </c>
      <c r="H11" s="3" t="s">
        <v>38</v>
      </c>
      <c r="I11" s="3" t="s">
        <v>33</v>
      </c>
      <c r="J11" s="3" t="s">
        <v>33</v>
      </c>
      <c r="K11" s="3" t="s">
        <v>33</v>
      </c>
      <c r="L11" s="6" t="s">
        <v>33</v>
      </c>
    </row>
    <row r="12" spans="2:12" x14ac:dyDescent="0.55000000000000004">
      <c r="B12" s="5">
        <v>7</v>
      </c>
      <c r="C12" s="3" t="s">
        <v>19</v>
      </c>
      <c r="D12" s="3" t="s">
        <v>60</v>
      </c>
      <c r="E12" s="3">
        <v>2</v>
      </c>
      <c r="F12" s="3" t="s">
        <v>28</v>
      </c>
      <c r="G12" s="3" t="s">
        <v>33</v>
      </c>
      <c r="H12" s="3" t="s">
        <v>34</v>
      </c>
      <c r="I12" s="3" t="s">
        <v>33</v>
      </c>
      <c r="J12" s="3" t="s">
        <v>33</v>
      </c>
      <c r="K12" s="3" t="s">
        <v>33</v>
      </c>
      <c r="L12" s="6" t="s">
        <v>33</v>
      </c>
    </row>
    <row r="13" spans="2:12" x14ac:dyDescent="0.55000000000000004">
      <c r="B13" s="5">
        <v>8</v>
      </c>
      <c r="C13" s="3" t="s">
        <v>21</v>
      </c>
      <c r="D13" s="3" t="s">
        <v>61</v>
      </c>
      <c r="E13" s="3">
        <v>2</v>
      </c>
      <c r="F13" s="3" t="s">
        <v>29</v>
      </c>
      <c r="G13" s="3" t="s">
        <v>33</v>
      </c>
      <c r="H13" s="3" t="s">
        <v>38</v>
      </c>
      <c r="I13" s="3" t="s">
        <v>33</v>
      </c>
      <c r="J13" s="3" t="s">
        <v>33</v>
      </c>
      <c r="K13" s="3" t="s">
        <v>33</v>
      </c>
      <c r="L13" s="6" t="s">
        <v>33</v>
      </c>
    </row>
    <row r="14" spans="2:12" ht="14.7" thickBot="1" x14ac:dyDescent="0.6">
      <c r="B14" s="63">
        <v>9</v>
      </c>
      <c r="C14" s="64" t="s">
        <v>20</v>
      </c>
      <c r="D14" s="64" t="s">
        <v>62</v>
      </c>
      <c r="E14" s="64">
        <v>1</v>
      </c>
      <c r="F14" s="64" t="s">
        <v>27</v>
      </c>
      <c r="G14" s="64" t="s">
        <v>33</v>
      </c>
      <c r="H14" s="64" t="s">
        <v>39</v>
      </c>
      <c r="I14" s="64" t="s">
        <v>33</v>
      </c>
      <c r="J14" s="64" t="s">
        <v>33</v>
      </c>
      <c r="K14" s="64" t="s">
        <v>33</v>
      </c>
      <c r="L14" s="65" t="s">
        <v>33</v>
      </c>
    </row>
    <row r="15" spans="2:12" ht="14.7" thickTop="1" x14ac:dyDescent="0.55000000000000004">
      <c r="B15" s="60">
        <v>10</v>
      </c>
      <c r="C15" s="61" t="s">
        <v>22</v>
      </c>
      <c r="D15" s="61" t="s">
        <v>63</v>
      </c>
      <c r="E15" s="61">
        <v>1</v>
      </c>
      <c r="F15" s="61" t="s">
        <v>43</v>
      </c>
      <c r="G15" s="61" t="s">
        <v>33</v>
      </c>
      <c r="H15" s="61" t="s">
        <v>33</v>
      </c>
      <c r="I15" s="61" t="s">
        <v>33</v>
      </c>
      <c r="J15" s="61" t="s">
        <v>33</v>
      </c>
      <c r="K15" s="61" t="s">
        <v>33</v>
      </c>
      <c r="L15" s="62" t="s">
        <v>33</v>
      </c>
    </row>
    <row r="16" spans="2:12" x14ac:dyDescent="0.55000000000000004">
      <c r="B16" s="5">
        <v>11</v>
      </c>
      <c r="C16" s="3" t="s">
        <v>23</v>
      </c>
      <c r="D16" s="3" t="s">
        <v>64</v>
      </c>
      <c r="E16" s="3">
        <v>2</v>
      </c>
      <c r="F16" s="3" t="s">
        <v>28</v>
      </c>
      <c r="G16" s="3" t="s">
        <v>33</v>
      </c>
      <c r="H16" s="3" t="s">
        <v>33</v>
      </c>
      <c r="I16" s="3" t="s">
        <v>33</v>
      </c>
      <c r="J16" s="3" t="s">
        <v>41</v>
      </c>
      <c r="K16" s="3" t="s">
        <v>33</v>
      </c>
      <c r="L16" s="6" t="s">
        <v>40</v>
      </c>
    </row>
    <row r="17" spans="2:12" x14ac:dyDescent="0.55000000000000004">
      <c r="B17" s="5">
        <v>12</v>
      </c>
      <c r="C17" s="3" t="s">
        <v>24</v>
      </c>
      <c r="D17" s="3" t="s">
        <v>65</v>
      </c>
      <c r="E17" s="3">
        <v>2</v>
      </c>
      <c r="F17" s="3" t="s">
        <v>30</v>
      </c>
      <c r="G17" s="3" t="s">
        <v>44</v>
      </c>
      <c r="H17" s="3" t="s">
        <v>33</v>
      </c>
      <c r="I17" s="3" t="s">
        <v>33</v>
      </c>
      <c r="J17" s="3" t="s">
        <v>33</v>
      </c>
      <c r="K17" s="3" t="s">
        <v>42</v>
      </c>
      <c r="L17" s="6" t="s">
        <v>33</v>
      </c>
    </row>
    <row r="18" spans="2:12" x14ac:dyDescent="0.55000000000000004">
      <c r="B18" s="5">
        <v>13</v>
      </c>
      <c r="C18" s="3" t="s">
        <v>25</v>
      </c>
      <c r="D18" s="3" t="s">
        <v>66</v>
      </c>
      <c r="E18" s="3">
        <v>2</v>
      </c>
      <c r="F18" s="3" t="s">
        <v>32</v>
      </c>
      <c r="G18" s="3" t="s">
        <v>45</v>
      </c>
      <c r="H18" s="3" t="s">
        <v>33</v>
      </c>
      <c r="I18" s="3" t="s">
        <v>33</v>
      </c>
      <c r="J18" s="3" t="s">
        <v>33</v>
      </c>
      <c r="K18" s="3" t="s">
        <v>46</v>
      </c>
      <c r="L18" s="6" t="s">
        <v>33</v>
      </c>
    </row>
    <row r="19" spans="2:12" ht="14.7" thickBot="1" x14ac:dyDescent="0.6">
      <c r="B19" s="7">
        <v>14</v>
      </c>
      <c r="C19" s="8" t="s">
        <v>26</v>
      </c>
      <c r="D19" s="8" t="s">
        <v>59</v>
      </c>
      <c r="E19" s="8">
        <v>2</v>
      </c>
      <c r="F19" s="8" t="s">
        <v>33</v>
      </c>
      <c r="G19" s="8" t="s">
        <v>47</v>
      </c>
      <c r="H19" s="8" t="s">
        <v>33</v>
      </c>
      <c r="I19" s="8" t="s">
        <v>33</v>
      </c>
      <c r="J19" s="8" t="s">
        <v>41</v>
      </c>
      <c r="K19" s="8" t="s">
        <v>33</v>
      </c>
      <c r="L19" s="9" t="s">
        <v>33</v>
      </c>
    </row>
  </sheetData>
  <mergeCells count="8">
    <mergeCell ref="K3:L3"/>
    <mergeCell ref="B2:L2"/>
    <mergeCell ref="B3:B4"/>
    <mergeCell ref="C3:C4"/>
    <mergeCell ref="D3:D4"/>
    <mergeCell ref="E3:E4"/>
    <mergeCell ref="F3:F4"/>
    <mergeCell ref="G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9B3EC-60B2-4154-BBB4-0C893FD3AE05}">
  <dimension ref="B1:J19"/>
  <sheetViews>
    <sheetView workbookViewId="0">
      <selection activeCell="I4" sqref="I4"/>
    </sheetView>
  </sheetViews>
  <sheetFormatPr baseColWidth="10" defaultRowHeight="14.4" x14ac:dyDescent="0.55000000000000004"/>
  <cols>
    <col min="1" max="1" width="10.9453125" style="10"/>
    <col min="2" max="2" width="10.62890625" style="10" customWidth="1"/>
    <col min="3" max="6" width="25.578125" style="10" customWidth="1"/>
    <col min="7" max="8" width="10.9453125" style="10"/>
    <col min="9" max="9" width="25.578125" style="10" customWidth="1"/>
    <col min="10" max="10" width="12.62890625" style="10" customWidth="1"/>
    <col min="11" max="16384" width="10.9453125" style="10"/>
  </cols>
  <sheetData>
    <row r="1" spans="2:10" ht="14.7" thickBot="1" x14ac:dyDescent="0.6"/>
    <row r="2" spans="2:10" ht="14.7" thickBot="1" x14ac:dyDescent="0.6">
      <c r="B2" s="101" t="s">
        <v>67</v>
      </c>
      <c r="C2" s="102"/>
      <c r="D2" s="102"/>
      <c r="E2" s="102"/>
      <c r="F2" s="103"/>
      <c r="H2" s="26" t="s">
        <v>1</v>
      </c>
      <c r="I2" s="27" t="s">
        <v>2</v>
      </c>
      <c r="J2" s="28" t="s">
        <v>3</v>
      </c>
    </row>
    <row r="3" spans="2:10" ht="14.7" thickBot="1" x14ac:dyDescent="0.6">
      <c r="B3" s="14"/>
      <c r="C3" s="15" t="s">
        <v>48</v>
      </c>
      <c r="D3" s="15" t="s">
        <v>49</v>
      </c>
      <c r="E3" s="15" t="s">
        <v>50</v>
      </c>
      <c r="F3" s="16" t="s">
        <v>51</v>
      </c>
      <c r="H3" s="5" t="s">
        <v>12</v>
      </c>
      <c r="I3" s="3" t="s">
        <v>152</v>
      </c>
      <c r="J3" s="6">
        <v>1</v>
      </c>
    </row>
    <row r="4" spans="2:10" x14ac:dyDescent="0.55000000000000004">
      <c r="B4" s="17">
        <v>0</v>
      </c>
      <c r="C4" s="11" t="s">
        <v>12</v>
      </c>
      <c r="D4" s="11" t="s">
        <v>13</v>
      </c>
      <c r="E4" s="20" t="s">
        <v>53</v>
      </c>
      <c r="F4" s="21" t="s">
        <v>53</v>
      </c>
      <c r="H4" s="5" t="s">
        <v>13</v>
      </c>
      <c r="I4" s="3" t="s">
        <v>54</v>
      </c>
      <c r="J4" s="6">
        <v>1</v>
      </c>
    </row>
    <row r="5" spans="2:10" ht="14.7" thickBot="1" x14ac:dyDescent="0.6">
      <c r="B5" s="18">
        <v>1</v>
      </c>
      <c r="C5" s="12" t="s">
        <v>14</v>
      </c>
      <c r="D5" s="22" t="s">
        <v>53</v>
      </c>
      <c r="E5" s="22" t="s">
        <v>53</v>
      </c>
      <c r="F5" s="23" t="s">
        <v>53</v>
      </c>
      <c r="H5" s="5" t="s">
        <v>14</v>
      </c>
      <c r="I5" s="3" t="s">
        <v>55</v>
      </c>
      <c r="J5" s="6">
        <v>1</v>
      </c>
    </row>
    <row r="6" spans="2:10" x14ac:dyDescent="0.55000000000000004">
      <c r="B6" s="17">
        <v>2</v>
      </c>
      <c r="C6" s="11" t="s">
        <v>19</v>
      </c>
      <c r="D6" s="11" t="s">
        <v>21</v>
      </c>
      <c r="E6" s="11" t="s">
        <v>15</v>
      </c>
      <c r="F6" s="21" t="s">
        <v>53</v>
      </c>
      <c r="H6" s="5" t="s">
        <v>15</v>
      </c>
      <c r="I6" s="3" t="s">
        <v>56</v>
      </c>
      <c r="J6" s="6">
        <v>2</v>
      </c>
    </row>
    <row r="7" spans="2:10" x14ac:dyDescent="0.55000000000000004">
      <c r="B7" s="19">
        <v>3</v>
      </c>
      <c r="C7" s="24" t="s">
        <v>53</v>
      </c>
      <c r="D7" s="24" t="s">
        <v>53</v>
      </c>
      <c r="E7" s="10" t="s">
        <v>16</v>
      </c>
      <c r="F7" s="25" t="s">
        <v>53</v>
      </c>
      <c r="H7" s="5" t="s">
        <v>16</v>
      </c>
      <c r="I7" s="3" t="s">
        <v>57</v>
      </c>
      <c r="J7" s="6">
        <v>2</v>
      </c>
    </row>
    <row r="8" spans="2:10" x14ac:dyDescent="0.55000000000000004">
      <c r="B8" s="19">
        <v>4</v>
      </c>
      <c r="C8" s="24" t="s">
        <v>53</v>
      </c>
      <c r="D8" s="24" t="s">
        <v>53</v>
      </c>
      <c r="E8" s="24" t="s">
        <v>53</v>
      </c>
      <c r="F8" s="25" t="s">
        <v>53</v>
      </c>
      <c r="H8" s="5" t="s">
        <v>17</v>
      </c>
      <c r="I8" s="3" t="s">
        <v>58</v>
      </c>
      <c r="J8" s="6">
        <v>2</v>
      </c>
    </row>
    <row r="9" spans="2:10" x14ac:dyDescent="0.55000000000000004">
      <c r="B9" s="19">
        <v>5</v>
      </c>
      <c r="C9" s="35" t="s">
        <v>17</v>
      </c>
      <c r="D9" s="24" t="s">
        <v>53</v>
      </c>
      <c r="E9" s="24" t="s">
        <v>53</v>
      </c>
      <c r="F9" s="25" t="s">
        <v>53</v>
      </c>
      <c r="H9" s="5" t="s">
        <v>18</v>
      </c>
      <c r="I9" s="3" t="s">
        <v>59</v>
      </c>
      <c r="J9" s="6">
        <v>2</v>
      </c>
    </row>
    <row r="10" spans="2:10" x14ac:dyDescent="0.55000000000000004">
      <c r="B10" s="19">
        <v>6</v>
      </c>
      <c r="C10" s="24" t="s">
        <v>53</v>
      </c>
      <c r="D10" s="24" t="s">
        <v>53</v>
      </c>
      <c r="E10" s="24" t="s">
        <v>53</v>
      </c>
      <c r="F10" s="25" t="s">
        <v>53</v>
      </c>
      <c r="H10" s="5" t="s">
        <v>19</v>
      </c>
      <c r="I10" s="3" t="s">
        <v>60</v>
      </c>
      <c r="J10" s="6">
        <v>2</v>
      </c>
    </row>
    <row r="11" spans="2:10" ht="14.7" thickBot="1" x14ac:dyDescent="0.6">
      <c r="B11" s="19">
        <v>7</v>
      </c>
      <c r="C11" s="24" t="s">
        <v>53</v>
      </c>
      <c r="D11" s="24" t="s">
        <v>53</v>
      </c>
      <c r="E11" s="35" t="s">
        <v>18</v>
      </c>
      <c r="F11" s="13" t="s">
        <v>52</v>
      </c>
      <c r="H11" s="5" t="s">
        <v>21</v>
      </c>
      <c r="I11" s="3" t="s">
        <v>61</v>
      </c>
      <c r="J11" s="6">
        <v>2</v>
      </c>
    </row>
    <row r="12" spans="2:10" x14ac:dyDescent="0.55000000000000004">
      <c r="B12" s="17">
        <v>8</v>
      </c>
      <c r="C12" s="11" t="s">
        <v>22</v>
      </c>
      <c r="D12" s="20" t="s">
        <v>53</v>
      </c>
      <c r="E12" s="11" t="s">
        <v>23</v>
      </c>
      <c r="F12" s="21" t="s">
        <v>53</v>
      </c>
      <c r="H12" s="5" t="s">
        <v>20</v>
      </c>
      <c r="I12" s="3" t="s">
        <v>62</v>
      </c>
      <c r="J12" s="6">
        <v>1</v>
      </c>
    </row>
    <row r="13" spans="2:10" x14ac:dyDescent="0.55000000000000004">
      <c r="B13" s="19">
        <v>9</v>
      </c>
      <c r="C13" s="24" t="s">
        <v>53</v>
      </c>
      <c r="D13" s="24" t="s">
        <v>53</v>
      </c>
      <c r="E13" s="10" t="s">
        <v>24</v>
      </c>
      <c r="F13" s="25" t="s">
        <v>53</v>
      </c>
      <c r="H13" s="5" t="s">
        <v>22</v>
      </c>
      <c r="I13" s="3" t="s">
        <v>63</v>
      </c>
      <c r="J13" s="6">
        <v>1</v>
      </c>
    </row>
    <row r="14" spans="2:10" x14ac:dyDescent="0.55000000000000004">
      <c r="B14" s="19">
        <v>10</v>
      </c>
      <c r="C14" s="24" t="s">
        <v>53</v>
      </c>
      <c r="D14" s="24" t="s">
        <v>53</v>
      </c>
      <c r="E14" s="24" t="s">
        <v>53</v>
      </c>
      <c r="F14" s="25" t="s">
        <v>53</v>
      </c>
      <c r="H14" s="5" t="s">
        <v>23</v>
      </c>
      <c r="I14" s="3" t="s">
        <v>64</v>
      </c>
      <c r="J14" s="6">
        <v>2</v>
      </c>
    </row>
    <row r="15" spans="2:10" x14ac:dyDescent="0.55000000000000004">
      <c r="B15" s="19">
        <v>11</v>
      </c>
      <c r="C15" s="35" t="s">
        <v>25</v>
      </c>
      <c r="D15" s="24" t="s">
        <v>53</v>
      </c>
      <c r="E15" s="24" t="s">
        <v>53</v>
      </c>
      <c r="F15" s="25" t="s">
        <v>53</v>
      </c>
      <c r="H15" s="5" t="s">
        <v>24</v>
      </c>
      <c r="I15" s="3" t="s">
        <v>65</v>
      </c>
      <c r="J15" s="6">
        <v>2</v>
      </c>
    </row>
    <row r="16" spans="2:10" x14ac:dyDescent="0.55000000000000004">
      <c r="B16" s="19">
        <v>12</v>
      </c>
      <c r="C16" s="24" t="s">
        <v>53</v>
      </c>
      <c r="D16" s="24" t="s">
        <v>53</v>
      </c>
      <c r="E16" s="24" t="s">
        <v>53</v>
      </c>
      <c r="F16" s="25" t="s">
        <v>53</v>
      </c>
      <c r="H16" s="5" t="s">
        <v>25</v>
      </c>
      <c r="I16" s="3" t="s">
        <v>66</v>
      </c>
      <c r="J16" s="6">
        <v>2</v>
      </c>
    </row>
    <row r="17" spans="2:10" ht="14.7" thickBot="1" x14ac:dyDescent="0.6">
      <c r="B17" s="18">
        <v>13</v>
      </c>
      <c r="C17" s="22" t="s">
        <v>53</v>
      </c>
      <c r="D17" s="22" t="s">
        <v>53</v>
      </c>
      <c r="E17" s="34" t="s">
        <v>26</v>
      </c>
      <c r="F17" s="23" t="s">
        <v>53</v>
      </c>
      <c r="H17" s="7" t="s">
        <v>26</v>
      </c>
      <c r="I17" s="8" t="s">
        <v>59</v>
      </c>
      <c r="J17" s="9">
        <v>2</v>
      </c>
    </row>
    <row r="18" spans="2:10" x14ac:dyDescent="0.55000000000000004">
      <c r="C18" s="24"/>
      <c r="D18" s="24"/>
      <c r="F18" s="24"/>
    </row>
    <row r="19" spans="2:10" ht="15" customHeight="1" x14ac:dyDescent="0.55000000000000004">
      <c r="C19" s="24"/>
      <c r="D19" s="24"/>
      <c r="F19" s="24"/>
    </row>
  </sheetData>
  <mergeCells count="1">
    <mergeCell ref="B2:F2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B9719-3AAD-487F-9243-A0EE04531BC2}">
  <dimension ref="B1:G58"/>
  <sheetViews>
    <sheetView workbookViewId="0">
      <selection activeCell="F4" sqref="F4"/>
    </sheetView>
  </sheetViews>
  <sheetFormatPr baseColWidth="10" defaultRowHeight="14.4" x14ac:dyDescent="0.55000000000000004"/>
  <cols>
    <col min="1" max="2" width="10.9453125" style="10"/>
    <col min="3" max="7" width="24.578125" style="10" customWidth="1"/>
    <col min="8" max="8" width="29.41796875" style="10" customWidth="1"/>
    <col min="9" max="16384" width="10.9453125" style="10"/>
  </cols>
  <sheetData>
    <row r="1" spans="2:6" ht="14.7" thickBot="1" x14ac:dyDescent="0.6"/>
    <row r="2" spans="2:6" ht="15" customHeight="1" x14ac:dyDescent="0.55000000000000004">
      <c r="B2" s="26" t="s">
        <v>1</v>
      </c>
      <c r="C2" s="27" t="s">
        <v>68</v>
      </c>
      <c r="D2" s="27" t="s">
        <v>84</v>
      </c>
      <c r="E2" s="27" t="s">
        <v>87</v>
      </c>
      <c r="F2" s="29" t="s">
        <v>69</v>
      </c>
    </row>
    <row r="3" spans="2:6" ht="15" customHeight="1" x14ac:dyDescent="0.55000000000000004">
      <c r="B3" s="5" t="s">
        <v>12</v>
      </c>
      <c r="C3" s="3" t="s">
        <v>152</v>
      </c>
      <c r="D3" s="3" t="s">
        <v>27</v>
      </c>
      <c r="E3" s="3" t="s">
        <v>27</v>
      </c>
      <c r="F3" s="6" t="s">
        <v>152</v>
      </c>
    </row>
    <row r="4" spans="2:6" ht="15" customHeight="1" x14ac:dyDescent="0.55000000000000004">
      <c r="B4" s="5" t="s">
        <v>13</v>
      </c>
      <c r="C4" s="3" t="s">
        <v>54</v>
      </c>
      <c r="D4" s="3" t="s">
        <v>28</v>
      </c>
      <c r="E4" s="3" t="s">
        <v>70</v>
      </c>
      <c r="F4" s="6" t="s">
        <v>71</v>
      </c>
    </row>
    <row r="5" spans="2:6" ht="15" customHeight="1" x14ac:dyDescent="0.55000000000000004">
      <c r="B5" s="5" t="s">
        <v>14</v>
      </c>
      <c r="C5" s="3" t="s">
        <v>55</v>
      </c>
      <c r="D5" s="3" t="s">
        <v>29</v>
      </c>
      <c r="E5" s="3" t="s">
        <v>28</v>
      </c>
      <c r="F5" s="6" t="s">
        <v>72</v>
      </c>
    </row>
    <row r="6" spans="2:6" ht="15" customHeight="1" x14ac:dyDescent="0.55000000000000004">
      <c r="B6" s="5" t="s">
        <v>15</v>
      </c>
      <c r="C6" s="3" t="s">
        <v>56</v>
      </c>
      <c r="D6" s="3" t="s">
        <v>30</v>
      </c>
      <c r="E6" s="3" t="s">
        <v>29</v>
      </c>
      <c r="F6" s="6" t="s">
        <v>73</v>
      </c>
    </row>
    <row r="7" spans="2:6" ht="15" customHeight="1" x14ac:dyDescent="0.55000000000000004">
      <c r="B7" s="5" t="s">
        <v>16</v>
      </c>
      <c r="C7" s="3" t="s">
        <v>57</v>
      </c>
      <c r="D7" s="3" t="s">
        <v>31</v>
      </c>
      <c r="E7" s="3" t="s">
        <v>30</v>
      </c>
      <c r="F7" s="6" t="s">
        <v>74</v>
      </c>
    </row>
    <row r="8" spans="2:6" ht="15" customHeight="1" x14ac:dyDescent="0.55000000000000004">
      <c r="B8" s="5" t="s">
        <v>17</v>
      </c>
      <c r="C8" s="3" t="s">
        <v>58</v>
      </c>
      <c r="D8" s="3" t="s">
        <v>32</v>
      </c>
      <c r="E8" s="3" t="s">
        <v>31</v>
      </c>
      <c r="F8" s="6" t="s">
        <v>75</v>
      </c>
    </row>
    <row r="9" spans="2:6" ht="15" customHeight="1" x14ac:dyDescent="0.55000000000000004">
      <c r="B9" s="5" t="s">
        <v>18</v>
      </c>
      <c r="C9" s="3" t="s">
        <v>59</v>
      </c>
      <c r="D9" s="3" t="s">
        <v>33</v>
      </c>
      <c r="E9" s="3" t="s">
        <v>33</v>
      </c>
      <c r="F9" s="6" t="s">
        <v>101</v>
      </c>
    </row>
    <row r="10" spans="2:6" ht="15" customHeight="1" x14ac:dyDescent="0.55000000000000004">
      <c r="B10" s="5" t="s">
        <v>19</v>
      </c>
      <c r="C10" s="3" t="s">
        <v>60</v>
      </c>
      <c r="D10" s="3" t="s">
        <v>28</v>
      </c>
      <c r="E10" s="3" t="s">
        <v>32</v>
      </c>
      <c r="F10" s="6" t="s">
        <v>76</v>
      </c>
    </row>
    <row r="11" spans="2:6" ht="15" customHeight="1" x14ac:dyDescent="0.55000000000000004">
      <c r="B11" s="5" t="s">
        <v>21</v>
      </c>
      <c r="C11" s="3" t="s">
        <v>61</v>
      </c>
      <c r="D11" s="3" t="s">
        <v>29</v>
      </c>
      <c r="E11" s="3" t="s">
        <v>43</v>
      </c>
      <c r="F11" s="6" t="s">
        <v>77</v>
      </c>
    </row>
    <row r="12" spans="2:6" ht="15" customHeight="1" x14ac:dyDescent="0.55000000000000004">
      <c r="B12" s="5" t="s">
        <v>20</v>
      </c>
      <c r="C12" s="3" t="s">
        <v>62</v>
      </c>
      <c r="D12" s="3" t="s">
        <v>27</v>
      </c>
      <c r="E12" s="3" t="s">
        <v>27</v>
      </c>
      <c r="F12" s="6" t="s">
        <v>62</v>
      </c>
    </row>
    <row r="13" spans="2:6" ht="15" customHeight="1" x14ac:dyDescent="0.55000000000000004">
      <c r="B13" s="5" t="s">
        <v>22</v>
      </c>
      <c r="C13" s="3" t="s">
        <v>63</v>
      </c>
      <c r="D13" s="3" t="s">
        <v>43</v>
      </c>
      <c r="E13" s="3" t="s">
        <v>78</v>
      </c>
      <c r="F13" s="6" t="s">
        <v>79</v>
      </c>
    </row>
    <row r="14" spans="2:6" ht="15" customHeight="1" x14ac:dyDescent="0.55000000000000004">
      <c r="B14" s="5" t="s">
        <v>23</v>
      </c>
      <c r="C14" s="3" t="s">
        <v>64</v>
      </c>
      <c r="D14" s="3" t="s">
        <v>28</v>
      </c>
      <c r="E14" s="3" t="s">
        <v>80</v>
      </c>
      <c r="F14" s="6" t="s">
        <v>144</v>
      </c>
    </row>
    <row r="15" spans="2:6" ht="15" customHeight="1" x14ac:dyDescent="0.55000000000000004">
      <c r="B15" s="5" t="s">
        <v>24</v>
      </c>
      <c r="C15" s="3" t="s">
        <v>65</v>
      </c>
      <c r="D15" s="3" t="s">
        <v>30</v>
      </c>
      <c r="E15" s="3" t="s">
        <v>81</v>
      </c>
      <c r="F15" s="6" t="s">
        <v>82</v>
      </c>
    </row>
    <row r="16" spans="2:6" ht="15" customHeight="1" x14ac:dyDescent="0.55000000000000004">
      <c r="B16" s="5" t="s">
        <v>25</v>
      </c>
      <c r="C16" s="3" t="s">
        <v>66</v>
      </c>
      <c r="D16" s="3" t="s">
        <v>32</v>
      </c>
      <c r="E16" s="3" t="s">
        <v>83</v>
      </c>
      <c r="F16" s="6" t="s">
        <v>85</v>
      </c>
    </row>
    <row r="17" spans="2:7" ht="15" customHeight="1" thickBot="1" x14ac:dyDescent="0.6">
      <c r="B17" s="7" t="s">
        <v>26</v>
      </c>
      <c r="C17" s="8" t="s">
        <v>59</v>
      </c>
      <c r="D17" s="8" t="s">
        <v>33</v>
      </c>
      <c r="E17" s="8" t="s">
        <v>33</v>
      </c>
      <c r="F17" s="9" t="s">
        <v>86</v>
      </c>
    </row>
    <row r="18" spans="2:7" ht="15" customHeight="1" thickBot="1" x14ac:dyDescent="0.6">
      <c r="B18" s="1"/>
      <c r="C18" s="1"/>
      <c r="D18" s="1"/>
      <c r="E18" s="1"/>
      <c r="F18" s="1"/>
    </row>
    <row r="19" spans="2:7" ht="15" customHeight="1" x14ac:dyDescent="0.55000000000000004">
      <c r="B19" s="26" t="s">
        <v>1</v>
      </c>
      <c r="C19" s="28" t="s">
        <v>88</v>
      </c>
      <c r="E19" s="1"/>
      <c r="F19" s="1"/>
    </row>
    <row r="20" spans="2:7" ht="15" customHeight="1" x14ac:dyDescent="0.55000000000000004">
      <c r="B20" s="5" t="s">
        <v>91</v>
      </c>
      <c r="C20" s="6" t="s">
        <v>89</v>
      </c>
      <c r="E20" s="1"/>
      <c r="F20" s="1"/>
    </row>
    <row r="21" spans="2:7" ht="15" customHeight="1" thickBot="1" x14ac:dyDescent="0.6">
      <c r="B21" s="7" t="s">
        <v>92</v>
      </c>
      <c r="C21" s="9" t="s">
        <v>90</v>
      </c>
      <c r="E21" s="1"/>
      <c r="F21" s="1"/>
    </row>
    <row r="22" spans="2:7" ht="14.7" thickBot="1" x14ac:dyDescent="0.6"/>
    <row r="23" spans="2:7" x14ac:dyDescent="0.55000000000000004">
      <c r="B23" s="119" t="s">
        <v>1</v>
      </c>
      <c r="C23" s="111" t="s">
        <v>93</v>
      </c>
      <c r="D23" s="120" t="s">
        <v>94</v>
      </c>
      <c r="E23" s="120"/>
      <c r="F23" s="120"/>
      <c r="G23" s="121"/>
    </row>
    <row r="24" spans="2:7" x14ac:dyDescent="0.55000000000000004">
      <c r="B24" s="118"/>
      <c r="C24" s="113"/>
      <c r="D24" s="2" t="s">
        <v>7</v>
      </c>
      <c r="E24" s="2" t="s">
        <v>8</v>
      </c>
      <c r="F24" s="2" t="s">
        <v>9</v>
      </c>
      <c r="G24" s="4" t="s">
        <v>10</v>
      </c>
    </row>
    <row r="25" spans="2:7" x14ac:dyDescent="0.55000000000000004">
      <c r="B25" s="5" t="s">
        <v>12</v>
      </c>
      <c r="C25" s="3" t="s">
        <v>27</v>
      </c>
      <c r="D25" s="30" t="s">
        <v>33</v>
      </c>
      <c r="E25" s="30" t="s">
        <v>33</v>
      </c>
      <c r="F25" s="30" t="s">
        <v>33</v>
      </c>
      <c r="G25" s="31" t="s">
        <v>33</v>
      </c>
    </row>
    <row r="26" spans="2:7" x14ac:dyDescent="0.55000000000000004">
      <c r="B26" s="5" t="s">
        <v>13</v>
      </c>
      <c r="C26" s="3" t="str">
        <f>E4</f>
        <v>x1</v>
      </c>
      <c r="D26" s="30" t="s">
        <v>33</v>
      </c>
      <c r="E26" s="30" t="s">
        <v>33</v>
      </c>
      <c r="F26" s="30" t="s">
        <v>33</v>
      </c>
      <c r="G26" s="31" t="s">
        <v>33</v>
      </c>
    </row>
    <row r="27" spans="2:7" x14ac:dyDescent="0.55000000000000004">
      <c r="B27" s="5" t="s">
        <v>14</v>
      </c>
      <c r="C27" s="3" t="str">
        <f t="shared" ref="C27:C33" si="0">E5</f>
        <v>x2</v>
      </c>
      <c r="D27" s="30" t="s">
        <v>33</v>
      </c>
      <c r="E27" s="30" t="s">
        <v>33</v>
      </c>
      <c r="F27" s="30" t="s">
        <v>33</v>
      </c>
      <c r="G27" s="31" t="s">
        <v>33</v>
      </c>
    </row>
    <row r="28" spans="2:7" x14ac:dyDescent="0.55000000000000004">
      <c r="B28" s="5" t="s">
        <v>15</v>
      </c>
      <c r="C28" s="3" t="str">
        <f t="shared" si="0"/>
        <v>x3</v>
      </c>
      <c r="D28" s="30" t="s">
        <v>33</v>
      </c>
      <c r="E28" s="30" t="s">
        <v>145</v>
      </c>
      <c r="F28" s="30" t="s">
        <v>33</v>
      </c>
      <c r="G28" s="31" t="s">
        <v>33</v>
      </c>
    </row>
    <row r="29" spans="2:7" x14ac:dyDescent="0.55000000000000004">
      <c r="B29" s="5" t="s">
        <v>16</v>
      </c>
      <c r="C29" s="3" t="str">
        <f t="shared" si="0"/>
        <v>x4</v>
      </c>
      <c r="D29" s="30" t="s">
        <v>33</v>
      </c>
      <c r="E29" s="30" t="s">
        <v>145</v>
      </c>
      <c r="F29" s="30" t="s">
        <v>33</v>
      </c>
      <c r="G29" s="31" t="s">
        <v>33</v>
      </c>
    </row>
    <row r="30" spans="2:7" x14ac:dyDescent="0.55000000000000004">
      <c r="B30" s="5" t="s">
        <v>17</v>
      </c>
      <c r="C30" s="3" t="str">
        <f t="shared" si="0"/>
        <v>x5</v>
      </c>
      <c r="D30" s="30" t="s">
        <v>95</v>
      </c>
      <c r="E30" s="30" t="s">
        <v>33</v>
      </c>
      <c r="F30" s="30" t="s">
        <v>33</v>
      </c>
      <c r="G30" s="31" t="s">
        <v>33</v>
      </c>
    </row>
    <row r="31" spans="2:7" x14ac:dyDescent="0.55000000000000004">
      <c r="B31" s="5" t="s">
        <v>18</v>
      </c>
      <c r="C31" s="3" t="str">
        <f t="shared" si="0"/>
        <v>-</v>
      </c>
      <c r="D31" s="30" t="s">
        <v>102</v>
      </c>
      <c r="E31" s="30" t="s">
        <v>146</v>
      </c>
      <c r="F31" s="30" t="s">
        <v>33</v>
      </c>
      <c r="G31" s="31" t="s">
        <v>33</v>
      </c>
    </row>
    <row r="32" spans="2:7" x14ac:dyDescent="0.55000000000000004">
      <c r="B32" s="5" t="s">
        <v>19</v>
      </c>
      <c r="C32" s="3" t="str">
        <f t="shared" si="0"/>
        <v>x6</v>
      </c>
      <c r="D32" s="30" t="s">
        <v>33</v>
      </c>
      <c r="E32" s="30" t="s">
        <v>145</v>
      </c>
      <c r="F32" s="30" t="s">
        <v>33</v>
      </c>
      <c r="G32" s="31" t="s">
        <v>33</v>
      </c>
    </row>
    <row r="33" spans="2:7" x14ac:dyDescent="0.55000000000000004">
      <c r="B33" s="5" t="s">
        <v>21</v>
      </c>
      <c r="C33" s="3" t="str">
        <f t="shared" si="0"/>
        <v>x7</v>
      </c>
      <c r="D33" s="30" t="s">
        <v>33</v>
      </c>
      <c r="E33" s="30" t="s">
        <v>146</v>
      </c>
      <c r="F33" s="30" t="s">
        <v>33</v>
      </c>
      <c r="G33" s="31" t="s">
        <v>33</v>
      </c>
    </row>
    <row r="34" spans="2:7" x14ac:dyDescent="0.55000000000000004">
      <c r="B34" s="5" t="s">
        <v>91</v>
      </c>
      <c r="C34" s="3" t="s">
        <v>70</v>
      </c>
      <c r="D34" s="30" t="s">
        <v>96</v>
      </c>
      <c r="E34" s="30" t="s">
        <v>33</v>
      </c>
      <c r="F34" s="30" t="s">
        <v>33</v>
      </c>
      <c r="G34" s="31" t="s">
        <v>33</v>
      </c>
    </row>
    <row r="35" spans="2:7" x14ac:dyDescent="0.55000000000000004">
      <c r="B35" s="5" t="s">
        <v>92</v>
      </c>
      <c r="C35" s="3" t="s">
        <v>28</v>
      </c>
      <c r="D35" s="30" t="s">
        <v>97</v>
      </c>
      <c r="E35" s="30" t="s">
        <v>33</v>
      </c>
      <c r="F35" s="30" t="s">
        <v>33</v>
      </c>
      <c r="G35" s="31" t="s">
        <v>33</v>
      </c>
    </row>
    <row r="36" spans="2:7" x14ac:dyDescent="0.55000000000000004">
      <c r="B36" s="5" t="s">
        <v>20</v>
      </c>
      <c r="C36" s="3" t="str">
        <f t="shared" ref="C36:C41" si="1">E12</f>
        <v>LC</v>
      </c>
      <c r="D36" s="30" t="s">
        <v>33</v>
      </c>
      <c r="E36" s="30" t="s">
        <v>39</v>
      </c>
      <c r="F36" s="30" t="s">
        <v>33</v>
      </c>
      <c r="G36" s="31" t="s">
        <v>33</v>
      </c>
    </row>
    <row r="37" spans="2:7" x14ac:dyDescent="0.55000000000000004">
      <c r="B37" s="5" t="s">
        <v>22</v>
      </c>
      <c r="C37" s="3" t="str">
        <f t="shared" si="1"/>
        <v>x8</v>
      </c>
      <c r="D37" s="30" t="s">
        <v>33</v>
      </c>
      <c r="E37" s="30" t="s">
        <v>33</v>
      </c>
      <c r="F37" s="30" t="s">
        <v>33</v>
      </c>
      <c r="G37" s="31" t="s">
        <v>33</v>
      </c>
    </row>
    <row r="38" spans="2:7" x14ac:dyDescent="0.55000000000000004">
      <c r="B38" s="5" t="s">
        <v>23</v>
      </c>
      <c r="C38" s="3" t="str">
        <f t="shared" si="1"/>
        <v>x9</v>
      </c>
      <c r="D38" s="30" t="s">
        <v>33</v>
      </c>
      <c r="E38" s="30" t="s">
        <v>33</v>
      </c>
      <c r="F38" s="30" t="s">
        <v>33</v>
      </c>
      <c r="G38" s="31" t="s">
        <v>97</v>
      </c>
    </row>
    <row r="39" spans="2:7" x14ac:dyDescent="0.55000000000000004">
      <c r="B39" s="5" t="s">
        <v>24</v>
      </c>
      <c r="C39" s="3" t="str">
        <f t="shared" si="1"/>
        <v>x10</v>
      </c>
      <c r="D39" s="30" t="s">
        <v>98</v>
      </c>
      <c r="E39" s="30" t="s">
        <v>33</v>
      </c>
      <c r="F39" s="30" t="s">
        <v>33</v>
      </c>
      <c r="G39" s="31" t="s">
        <v>33</v>
      </c>
    </row>
    <row r="40" spans="2:7" x14ac:dyDescent="0.55000000000000004">
      <c r="B40" s="5" t="s">
        <v>25</v>
      </c>
      <c r="C40" s="3" t="str">
        <f t="shared" si="1"/>
        <v>x11</v>
      </c>
      <c r="D40" s="30" t="s">
        <v>99</v>
      </c>
      <c r="E40" s="30" t="s">
        <v>33</v>
      </c>
      <c r="F40" s="30" t="s">
        <v>33</v>
      </c>
      <c r="G40" s="31" t="s">
        <v>33</v>
      </c>
    </row>
    <row r="41" spans="2:7" ht="14.7" thickBot="1" x14ac:dyDescent="0.6">
      <c r="B41" s="7" t="s">
        <v>26</v>
      </c>
      <c r="C41" s="8" t="str">
        <f t="shared" si="1"/>
        <v>-</v>
      </c>
      <c r="D41" s="32" t="s">
        <v>100</v>
      </c>
      <c r="E41" s="32" t="s">
        <v>33</v>
      </c>
      <c r="F41" s="32" t="s">
        <v>33</v>
      </c>
      <c r="G41" s="33" t="s">
        <v>97</v>
      </c>
    </row>
    <row r="42" spans="2:7" ht="14.7" thickBot="1" x14ac:dyDescent="0.6"/>
    <row r="43" spans="2:7" ht="14.7" thickBot="1" x14ac:dyDescent="0.6">
      <c r="B43" s="101" t="s">
        <v>149</v>
      </c>
      <c r="C43" s="102"/>
      <c r="D43" s="102"/>
      <c r="E43" s="102"/>
      <c r="F43" s="103"/>
    </row>
    <row r="44" spans="2:7" ht="14.7" thickBot="1" x14ac:dyDescent="0.6">
      <c r="B44" s="14"/>
      <c r="C44" s="15" t="s">
        <v>48</v>
      </c>
      <c r="D44" s="15" t="s">
        <v>49</v>
      </c>
      <c r="E44" s="15" t="s">
        <v>50</v>
      </c>
      <c r="F44" s="16" t="s">
        <v>51</v>
      </c>
    </row>
    <row r="45" spans="2:7" x14ac:dyDescent="0.55000000000000004">
      <c r="B45" s="17">
        <v>0</v>
      </c>
      <c r="C45" s="11" t="s">
        <v>12</v>
      </c>
      <c r="D45" s="11" t="s">
        <v>13</v>
      </c>
      <c r="E45" s="20" t="s">
        <v>53</v>
      </c>
      <c r="F45" s="21" t="s">
        <v>53</v>
      </c>
    </row>
    <row r="46" spans="2:7" ht="14.7" thickBot="1" x14ac:dyDescent="0.6">
      <c r="B46" s="18">
        <v>1</v>
      </c>
      <c r="C46" s="12" t="s">
        <v>14</v>
      </c>
      <c r="D46" s="22" t="s">
        <v>53</v>
      </c>
      <c r="E46" s="22" t="s">
        <v>53</v>
      </c>
      <c r="F46" s="23" t="s">
        <v>53</v>
      </c>
    </row>
    <row r="47" spans="2:7" x14ac:dyDescent="0.55000000000000004">
      <c r="B47" s="17">
        <v>2</v>
      </c>
      <c r="C47" s="11" t="s">
        <v>19</v>
      </c>
      <c r="D47" s="11" t="s">
        <v>21</v>
      </c>
      <c r="E47" s="11" t="s">
        <v>15</v>
      </c>
      <c r="F47" s="21" t="s">
        <v>53</v>
      </c>
    </row>
    <row r="48" spans="2:7" x14ac:dyDescent="0.55000000000000004">
      <c r="B48" s="19">
        <v>3</v>
      </c>
      <c r="C48" s="24" t="s">
        <v>53</v>
      </c>
      <c r="D48" s="24" t="s">
        <v>53</v>
      </c>
      <c r="E48" s="10" t="s">
        <v>16</v>
      </c>
      <c r="F48" s="25" t="s">
        <v>53</v>
      </c>
    </row>
    <row r="49" spans="2:6" x14ac:dyDescent="0.55000000000000004">
      <c r="B49" s="19">
        <v>4</v>
      </c>
      <c r="C49" s="24" t="s">
        <v>53</v>
      </c>
      <c r="D49" s="24" t="s">
        <v>53</v>
      </c>
      <c r="E49" s="24" t="s">
        <v>53</v>
      </c>
      <c r="F49" s="25" t="s">
        <v>53</v>
      </c>
    </row>
    <row r="50" spans="2:6" x14ac:dyDescent="0.55000000000000004">
      <c r="B50" s="19">
        <v>5</v>
      </c>
      <c r="C50" s="35" t="s">
        <v>17</v>
      </c>
      <c r="D50" s="24" t="s">
        <v>53</v>
      </c>
      <c r="E50" s="24" t="s">
        <v>53</v>
      </c>
      <c r="F50" s="25" t="s">
        <v>53</v>
      </c>
    </row>
    <row r="51" spans="2:6" x14ac:dyDescent="0.55000000000000004">
      <c r="B51" s="19">
        <v>6</v>
      </c>
      <c r="C51" s="24" t="s">
        <v>53</v>
      </c>
      <c r="D51" s="24" t="s">
        <v>53</v>
      </c>
      <c r="E51" s="24" t="s">
        <v>53</v>
      </c>
      <c r="F51" s="25" t="s">
        <v>53</v>
      </c>
    </row>
    <row r="52" spans="2:6" ht="14.7" thickBot="1" x14ac:dyDescent="0.6">
      <c r="B52" s="19">
        <v>7</v>
      </c>
      <c r="C52" s="10" t="s">
        <v>91</v>
      </c>
      <c r="D52" s="35" t="s">
        <v>92</v>
      </c>
      <c r="E52" s="35" t="s">
        <v>18</v>
      </c>
      <c r="F52" s="36" t="s">
        <v>52</v>
      </c>
    </row>
    <row r="53" spans="2:6" x14ac:dyDescent="0.55000000000000004">
      <c r="B53" s="17">
        <v>10</v>
      </c>
      <c r="C53" s="11" t="s">
        <v>22</v>
      </c>
      <c r="D53" s="20" t="s">
        <v>53</v>
      </c>
      <c r="E53" s="11" t="s">
        <v>23</v>
      </c>
      <c r="F53" s="21" t="s">
        <v>53</v>
      </c>
    </row>
    <row r="54" spans="2:6" x14ac:dyDescent="0.55000000000000004">
      <c r="B54" s="19">
        <v>11</v>
      </c>
      <c r="C54" s="24" t="s">
        <v>53</v>
      </c>
      <c r="D54" s="24" t="s">
        <v>53</v>
      </c>
      <c r="E54" s="10" t="s">
        <v>24</v>
      </c>
      <c r="F54" s="25" t="s">
        <v>53</v>
      </c>
    </row>
    <row r="55" spans="2:6" x14ac:dyDescent="0.55000000000000004">
      <c r="B55" s="19">
        <v>12</v>
      </c>
      <c r="C55" s="24" t="s">
        <v>53</v>
      </c>
      <c r="D55" s="24" t="s">
        <v>53</v>
      </c>
      <c r="E55" s="24" t="s">
        <v>53</v>
      </c>
      <c r="F55" s="25" t="s">
        <v>53</v>
      </c>
    </row>
    <row r="56" spans="2:6" x14ac:dyDescent="0.55000000000000004">
      <c r="B56" s="19">
        <v>13</v>
      </c>
      <c r="C56" s="35" t="s">
        <v>25</v>
      </c>
      <c r="D56" s="24" t="s">
        <v>53</v>
      </c>
      <c r="E56" s="24" t="s">
        <v>53</v>
      </c>
      <c r="F56" s="25" t="s">
        <v>53</v>
      </c>
    </row>
    <row r="57" spans="2:6" x14ac:dyDescent="0.55000000000000004">
      <c r="B57" s="19">
        <v>14</v>
      </c>
      <c r="C57" s="24" t="s">
        <v>53</v>
      </c>
      <c r="D57" s="24" t="s">
        <v>53</v>
      </c>
      <c r="E57" s="24" t="s">
        <v>53</v>
      </c>
      <c r="F57" s="25" t="s">
        <v>53</v>
      </c>
    </row>
    <row r="58" spans="2:6" ht="14.7" thickBot="1" x14ac:dyDescent="0.6">
      <c r="B58" s="18">
        <v>15</v>
      </c>
      <c r="C58" s="22" t="s">
        <v>53</v>
      </c>
      <c r="D58" s="22" t="s">
        <v>53</v>
      </c>
      <c r="E58" s="34" t="s">
        <v>26</v>
      </c>
      <c r="F58" s="23" t="s">
        <v>53</v>
      </c>
    </row>
  </sheetData>
  <mergeCells count="4">
    <mergeCell ref="B23:B24"/>
    <mergeCell ref="C23:C24"/>
    <mergeCell ref="B43:F43"/>
    <mergeCell ref="D23:G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3B424-C61E-4837-AE0B-C0F87575AF90}">
  <dimension ref="B1:K17"/>
  <sheetViews>
    <sheetView workbookViewId="0">
      <selection activeCell="K4" sqref="K4"/>
    </sheetView>
  </sheetViews>
  <sheetFormatPr baseColWidth="10" defaultRowHeight="14.4" x14ac:dyDescent="0.55000000000000004"/>
  <cols>
    <col min="1" max="6" width="10.9453125" style="10"/>
    <col min="7" max="7" width="19.83984375" style="10" customWidth="1"/>
    <col min="8" max="10" width="10.9453125" style="10"/>
    <col min="11" max="11" width="18.05078125" style="10" customWidth="1"/>
    <col min="12" max="12" width="16.47265625" style="10" customWidth="1"/>
    <col min="13" max="16384" width="10.9453125" style="10"/>
  </cols>
  <sheetData>
    <row r="1" spans="2:11" ht="14.7" thickBot="1" x14ac:dyDescent="0.6"/>
    <row r="2" spans="2:11" x14ac:dyDescent="0.55000000000000004">
      <c r="B2" s="37" t="s">
        <v>105</v>
      </c>
      <c r="C2" s="38" t="s">
        <v>107</v>
      </c>
      <c r="D2" s="38" t="s">
        <v>108</v>
      </c>
      <c r="E2" s="39" t="s">
        <v>109</v>
      </c>
      <c r="J2" s="66" t="s">
        <v>1</v>
      </c>
      <c r="K2" s="59" t="s">
        <v>2</v>
      </c>
    </row>
    <row r="3" spans="2:11" ht="14.7" thickBot="1" x14ac:dyDescent="0.6">
      <c r="B3" s="40" t="s">
        <v>25</v>
      </c>
      <c r="C3" s="30">
        <v>3</v>
      </c>
      <c r="D3" s="30">
        <v>3</v>
      </c>
      <c r="E3" s="31">
        <v>1</v>
      </c>
      <c r="J3" s="67" t="s">
        <v>12</v>
      </c>
      <c r="K3" s="31" t="s">
        <v>152</v>
      </c>
    </row>
    <row r="4" spans="2:11" ht="14.7" thickBot="1" x14ac:dyDescent="0.6">
      <c r="B4" s="40" t="s">
        <v>104</v>
      </c>
      <c r="C4" s="30">
        <v>2</v>
      </c>
      <c r="D4" s="30">
        <v>1</v>
      </c>
      <c r="E4" s="31">
        <v>1</v>
      </c>
      <c r="G4" s="42" t="s">
        <v>103</v>
      </c>
      <c r="H4" s="43">
        <f>MAX(C5:E5)</f>
        <v>3</v>
      </c>
      <c r="J4" s="67" t="s">
        <v>13</v>
      </c>
      <c r="K4" s="31" t="s">
        <v>54</v>
      </c>
    </row>
    <row r="5" spans="2:11" ht="14.7" thickBot="1" x14ac:dyDescent="0.6">
      <c r="B5" s="41" t="s">
        <v>106</v>
      </c>
      <c r="C5" s="32">
        <f>ROUNDUP(C3/C4, 0)</f>
        <v>2</v>
      </c>
      <c r="D5" s="32">
        <f>ROUNDUP(D3/D4, 0)</f>
        <v>3</v>
      </c>
      <c r="E5" s="33">
        <f>ROUNDUP(E3/E4, 0)</f>
        <v>1</v>
      </c>
      <c r="J5" s="67" t="s">
        <v>14</v>
      </c>
      <c r="K5" s="31" t="s">
        <v>55</v>
      </c>
    </row>
    <row r="6" spans="2:11" x14ac:dyDescent="0.55000000000000004">
      <c r="J6" s="67" t="s">
        <v>15</v>
      </c>
      <c r="K6" s="31" t="s">
        <v>56</v>
      </c>
    </row>
    <row r="7" spans="2:11" x14ac:dyDescent="0.55000000000000004">
      <c r="J7" s="67" t="s">
        <v>16</v>
      </c>
      <c r="K7" s="31" t="s">
        <v>57</v>
      </c>
    </row>
    <row r="8" spans="2:11" x14ac:dyDescent="0.55000000000000004">
      <c r="J8" s="67" t="s">
        <v>17</v>
      </c>
      <c r="K8" s="31" t="s">
        <v>58</v>
      </c>
    </row>
    <row r="9" spans="2:11" x14ac:dyDescent="0.55000000000000004">
      <c r="J9" s="67" t="s">
        <v>18</v>
      </c>
      <c r="K9" s="31" t="s">
        <v>59</v>
      </c>
    </row>
    <row r="10" spans="2:11" x14ac:dyDescent="0.55000000000000004">
      <c r="J10" s="67" t="s">
        <v>19</v>
      </c>
      <c r="K10" s="31" t="s">
        <v>60</v>
      </c>
    </row>
    <row r="11" spans="2:11" x14ac:dyDescent="0.55000000000000004">
      <c r="J11" s="67" t="s">
        <v>21</v>
      </c>
      <c r="K11" s="31" t="s">
        <v>61</v>
      </c>
    </row>
    <row r="12" spans="2:11" x14ac:dyDescent="0.55000000000000004">
      <c r="J12" s="67" t="s">
        <v>20</v>
      </c>
      <c r="K12" s="31" t="s">
        <v>62</v>
      </c>
    </row>
    <row r="13" spans="2:11" x14ac:dyDescent="0.55000000000000004">
      <c r="J13" s="67" t="s">
        <v>22</v>
      </c>
      <c r="K13" s="31" t="s">
        <v>63</v>
      </c>
    </row>
    <row r="14" spans="2:11" x14ac:dyDescent="0.55000000000000004">
      <c r="J14" s="67" t="s">
        <v>23</v>
      </c>
      <c r="K14" s="31" t="s">
        <v>64</v>
      </c>
    </row>
    <row r="15" spans="2:11" x14ac:dyDescent="0.55000000000000004">
      <c r="J15" s="67" t="s">
        <v>24</v>
      </c>
      <c r="K15" s="31" t="s">
        <v>65</v>
      </c>
    </row>
    <row r="16" spans="2:11" x14ac:dyDescent="0.55000000000000004">
      <c r="J16" s="67" t="s">
        <v>25</v>
      </c>
      <c r="K16" s="31" t="s">
        <v>66</v>
      </c>
    </row>
    <row r="17" spans="10:11" ht="14.7" thickBot="1" x14ac:dyDescent="0.6">
      <c r="J17" s="68" t="s">
        <v>26</v>
      </c>
      <c r="K17" s="33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2F04C-C7B0-4A9E-B198-BA9C426B8AAF}">
  <dimension ref="B1:J17"/>
  <sheetViews>
    <sheetView workbookViewId="0">
      <selection activeCell="K5" sqref="K5"/>
    </sheetView>
  </sheetViews>
  <sheetFormatPr baseColWidth="10" defaultRowHeight="14.4" x14ac:dyDescent="0.55000000000000004"/>
  <cols>
    <col min="1" max="2" width="10.9453125" style="10"/>
    <col min="3" max="7" width="20.578125" style="10" customWidth="1"/>
    <col min="8" max="9" width="10.9453125" style="10"/>
    <col min="10" max="10" width="15.1015625" style="10" customWidth="1"/>
    <col min="11" max="16384" width="10.9453125" style="10"/>
  </cols>
  <sheetData>
    <row r="1" spans="2:10" ht="14.7" thickBot="1" x14ac:dyDescent="0.6"/>
    <row r="2" spans="2:10" ht="14.7" thickBot="1" x14ac:dyDescent="0.6">
      <c r="B2" s="101" t="s">
        <v>110</v>
      </c>
      <c r="C2" s="102"/>
      <c r="D2" s="102"/>
      <c r="E2" s="102"/>
      <c r="F2" s="102"/>
      <c r="G2" s="103"/>
      <c r="I2" s="66" t="s">
        <v>1</v>
      </c>
      <c r="J2" s="59" t="s">
        <v>2</v>
      </c>
    </row>
    <row r="3" spans="2:10" ht="14.7" thickBot="1" x14ac:dyDescent="0.6">
      <c r="B3" s="14"/>
      <c r="C3" s="15" t="s">
        <v>48</v>
      </c>
      <c r="D3" s="15" t="s">
        <v>49</v>
      </c>
      <c r="E3" s="15" t="s">
        <v>50</v>
      </c>
      <c r="F3" s="16" t="s">
        <v>51</v>
      </c>
      <c r="G3" s="16" t="s">
        <v>111</v>
      </c>
      <c r="I3" s="67" t="s">
        <v>12</v>
      </c>
      <c r="J3" s="31" t="s">
        <v>152</v>
      </c>
    </row>
    <row r="4" spans="2:10" x14ac:dyDescent="0.55000000000000004">
      <c r="B4" s="17">
        <v>0</v>
      </c>
      <c r="C4" s="11" t="s">
        <v>12</v>
      </c>
      <c r="D4" s="11" t="s">
        <v>13</v>
      </c>
      <c r="E4" s="20" t="s">
        <v>53</v>
      </c>
      <c r="F4" s="21" t="s">
        <v>53</v>
      </c>
      <c r="G4" s="53" t="s">
        <v>33</v>
      </c>
      <c r="I4" s="67" t="s">
        <v>13</v>
      </c>
      <c r="J4" s="31" t="s">
        <v>54</v>
      </c>
    </row>
    <row r="5" spans="2:10" ht="14.7" thickBot="1" x14ac:dyDescent="0.6">
      <c r="B5" s="18">
        <v>1</v>
      </c>
      <c r="C5" s="12" t="s">
        <v>14</v>
      </c>
      <c r="D5" s="22" t="s">
        <v>53</v>
      </c>
      <c r="E5" s="22" t="s">
        <v>53</v>
      </c>
      <c r="F5" s="23" t="s">
        <v>53</v>
      </c>
      <c r="G5" s="54" t="s">
        <v>33</v>
      </c>
      <c r="I5" s="67" t="s">
        <v>14</v>
      </c>
      <c r="J5" s="31" t="s">
        <v>55</v>
      </c>
    </row>
    <row r="6" spans="2:10" x14ac:dyDescent="0.55000000000000004">
      <c r="B6" s="17">
        <v>2</v>
      </c>
      <c r="C6" s="45" t="s">
        <v>112</v>
      </c>
      <c r="D6" s="44" t="s">
        <v>19</v>
      </c>
      <c r="E6" s="44" t="s">
        <v>15</v>
      </c>
      <c r="F6" s="21" t="s">
        <v>53</v>
      </c>
      <c r="G6" s="57">
        <v>0</v>
      </c>
      <c r="I6" s="67" t="s">
        <v>15</v>
      </c>
      <c r="J6" s="31" t="s">
        <v>56</v>
      </c>
    </row>
    <row r="7" spans="2:10" x14ac:dyDescent="0.55000000000000004">
      <c r="B7" s="19">
        <v>3</v>
      </c>
      <c r="C7" s="47" t="s">
        <v>21</v>
      </c>
      <c r="D7" s="24" t="s">
        <v>53</v>
      </c>
      <c r="E7" s="48" t="s">
        <v>16</v>
      </c>
      <c r="F7" s="25" t="s">
        <v>53</v>
      </c>
      <c r="G7" s="55">
        <v>0</v>
      </c>
      <c r="I7" s="67" t="s">
        <v>16</v>
      </c>
      <c r="J7" s="31" t="s">
        <v>57</v>
      </c>
    </row>
    <row r="8" spans="2:10" x14ac:dyDescent="0.55000000000000004">
      <c r="B8" s="19">
        <v>4</v>
      </c>
      <c r="C8" s="24" t="s">
        <v>53</v>
      </c>
      <c r="D8" s="24" t="s">
        <v>53</v>
      </c>
      <c r="E8" s="49" t="s">
        <v>112</v>
      </c>
      <c r="F8" s="46" t="s">
        <v>52</v>
      </c>
      <c r="G8" s="55">
        <v>0</v>
      </c>
      <c r="I8" s="67" t="s">
        <v>17</v>
      </c>
      <c r="J8" s="31" t="s">
        <v>58</v>
      </c>
    </row>
    <row r="9" spans="2:10" x14ac:dyDescent="0.55000000000000004">
      <c r="B9" s="19">
        <v>5</v>
      </c>
      <c r="C9" s="50" t="s">
        <v>17</v>
      </c>
      <c r="D9" s="51" t="s">
        <v>112</v>
      </c>
      <c r="E9" s="51" t="s">
        <v>112</v>
      </c>
      <c r="F9" s="25" t="s">
        <v>53</v>
      </c>
      <c r="G9" s="55">
        <v>1</v>
      </c>
      <c r="I9" s="67" t="s">
        <v>18</v>
      </c>
      <c r="J9" s="31" t="s">
        <v>59</v>
      </c>
    </row>
    <row r="10" spans="2:10" x14ac:dyDescent="0.55000000000000004">
      <c r="B10" s="19">
        <v>6</v>
      </c>
      <c r="C10" s="47" t="s">
        <v>112</v>
      </c>
      <c r="D10" s="24" t="s">
        <v>53</v>
      </c>
      <c r="E10" s="47" t="s">
        <v>112</v>
      </c>
      <c r="F10" s="25" t="s">
        <v>53</v>
      </c>
      <c r="G10" s="55">
        <v>1</v>
      </c>
      <c r="I10" s="67" t="s">
        <v>19</v>
      </c>
      <c r="J10" s="31" t="s">
        <v>60</v>
      </c>
    </row>
    <row r="11" spans="2:10" ht="14.7" thickBot="1" x14ac:dyDescent="0.6">
      <c r="B11" s="19">
        <v>7</v>
      </c>
      <c r="C11" s="24" t="s">
        <v>53</v>
      </c>
      <c r="D11" s="24" t="s">
        <v>53</v>
      </c>
      <c r="E11" s="52" t="s">
        <v>18</v>
      </c>
      <c r="F11" s="46" t="s">
        <v>112</v>
      </c>
      <c r="G11" s="56">
        <v>1</v>
      </c>
      <c r="I11" s="67" t="s">
        <v>21</v>
      </c>
      <c r="J11" s="31" t="s">
        <v>61</v>
      </c>
    </row>
    <row r="12" spans="2:10" x14ac:dyDescent="0.55000000000000004">
      <c r="B12" s="17">
        <v>10</v>
      </c>
      <c r="C12" s="11" t="s">
        <v>22</v>
      </c>
      <c r="D12" s="20" t="s">
        <v>53</v>
      </c>
      <c r="E12" s="11" t="s">
        <v>23</v>
      </c>
      <c r="F12" s="21" t="s">
        <v>53</v>
      </c>
      <c r="G12" s="55" t="s">
        <v>33</v>
      </c>
      <c r="I12" s="67" t="s">
        <v>20</v>
      </c>
      <c r="J12" s="31" t="s">
        <v>62</v>
      </c>
    </row>
    <row r="13" spans="2:10" x14ac:dyDescent="0.55000000000000004">
      <c r="B13" s="19">
        <v>11</v>
      </c>
      <c r="C13" s="24" t="s">
        <v>53</v>
      </c>
      <c r="D13" s="24" t="s">
        <v>53</v>
      </c>
      <c r="E13" s="10" t="s">
        <v>24</v>
      </c>
      <c r="F13" s="25" t="s">
        <v>53</v>
      </c>
      <c r="G13" s="55" t="s">
        <v>33</v>
      </c>
      <c r="I13" s="67" t="s">
        <v>22</v>
      </c>
      <c r="J13" s="31" t="s">
        <v>63</v>
      </c>
    </row>
    <row r="14" spans="2:10" x14ac:dyDescent="0.55000000000000004">
      <c r="B14" s="19">
        <v>12</v>
      </c>
      <c r="C14" s="24" t="s">
        <v>53</v>
      </c>
      <c r="D14" s="24" t="s">
        <v>53</v>
      </c>
      <c r="E14" s="24" t="s">
        <v>53</v>
      </c>
      <c r="F14" s="25" t="s">
        <v>53</v>
      </c>
      <c r="G14" s="55" t="s">
        <v>33</v>
      </c>
      <c r="I14" s="67" t="s">
        <v>23</v>
      </c>
      <c r="J14" s="31" t="s">
        <v>64</v>
      </c>
    </row>
    <row r="15" spans="2:10" x14ac:dyDescent="0.55000000000000004">
      <c r="B15" s="19">
        <v>13</v>
      </c>
      <c r="C15" s="35" t="s">
        <v>25</v>
      </c>
      <c r="D15" s="24" t="s">
        <v>53</v>
      </c>
      <c r="E15" s="24" t="s">
        <v>53</v>
      </c>
      <c r="F15" s="25" t="s">
        <v>53</v>
      </c>
      <c r="G15" s="55" t="s">
        <v>33</v>
      </c>
      <c r="I15" s="67" t="s">
        <v>24</v>
      </c>
      <c r="J15" s="31" t="s">
        <v>65</v>
      </c>
    </row>
    <row r="16" spans="2:10" x14ac:dyDescent="0.55000000000000004">
      <c r="B16" s="19">
        <v>14</v>
      </c>
      <c r="C16" s="24" t="s">
        <v>53</v>
      </c>
      <c r="D16" s="24" t="s">
        <v>53</v>
      </c>
      <c r="E16" s="24" t="s">
        <v>53</v>
      </c>
      <c r="F16" s="25" t="s">
        <v>53</v>
      </c>
      <c r="G16" s="55" t="s">
        <v>33</v>
      </c>
      <c r="I16" s="67" t="s">
        <v>25</v>
      </c>
      <c r="J16" s="31" t="s">
        <v>66</v>
      </c>
    </row>
    <row r="17" spans="2:10" ht="14.7" thickBot="1" x14ac:dyDescent="0.6">
      <c r="B17" s="18">
        <v>15</v>
      </c>
      <c r="C17" s="22" t="s">
        <v>53</v>
      </c>
      <c r="D17" s="22" t="s">
        <v>53</v>
      </c>
      <c r="E17" s="34" t="s">
        <v>26</v>
      </c>
      <c r="F17" s="23" t="s">
        <v>53</v>
      </c>
      <c r="G17" s="56" t="s">
        <v>33</v>
      </c>
      <c r="I17" s="68" t="s">
        <v>26</v>
      </c>
      <c r="J17" s="33" t="s">
        <v>59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913E7-F6F2-4E9D-8E95-4D3E7E00733C}">
  <dimension ref="A1:L49"/>
  <sheetViews>
    <sheetView tabSelected="1" workbookViewId="0">
      <selection activeCell="C19" sqref="C19"/>
    </sheetView>
  </sheetViews>
  <sheetFormatPr baseColWidth="10" defaultRowHeight="14.4" x14ac:dyDescent="0.55000000000000004"/>
  <cols>
    <col min="1" max="2" width="10.9453125" style="10"/>
    <col min="3" max="6" width="24.578125" style="10" customWidth="1"/>
    <col min="7" max="7" width="10.9453125" style="10"/>
    <col min="8" max="8" width="10.9453125" style="10" customWidth="1"/>
    <col min="9" max="16384" width="10.9453125" style="10"/>
  </cols>
  <sheetData>
    <row r="1" spans="1:7" ht="15" customHeight="1" thickBot="1" x14ac:dyDescent="0.6"/>
    <row r="2" spans="1:7" ht="15" customHeight="1" thickBot="1" x14ac:dyDescent="0.6">
      <c r="B2" s="108" t="s">
        <v>119</v>
      </c>
      <c r="C2" s="109"/>
      <c r="D2" s="109"/>
      <c r="E2" s="110"/>
    </row>
    <row r="3" spans="1:7" ht="15" customHeight="1" x14ac:dyDescent="0.55000000000000004">
      <c r="B3" s="26" t="s">
        <v>1</v>
      </c>
      <c r="C3" s="27" t="s">
        <v>68</v>
      </c>
      <c r="D3" s="27" t="s">
        <v>84</v>
      </c>
      <c r="E3" s="28" t="s">
        <v>118</v>
      </c>
    </row>
    <row r="4" spans="1:7" ht="15" customHeight="1" x14ac:dyDescent="0.55000000000000004">
      <c r="B4" s="5" t="s">
        <v>15</v>
      </c>
      <c r="C4" s="3" t="s">
        <v>56</v>
      </c>
      <c r="D4" s="3" t="s">
        <v>30</v>
      </c>
      <c r="E4" s="6" t="s">
        <v>113</v>
      </c>
    </row>
    <row r="5" spans="1:7" ht="15" customHeight="1" x14ac:dyDescent="0.55000000000000004">
      <c r="B5" s="5" t="s">
        <v>16</v>
      </c>
      <c r="C5" s="3" t="s">
        <v>57</v>
      </c>
      <c r="D5" s="3" t="s">
        <v>31</v>
      </c>
      <c r="E5" s="6" t="s">
        <v>114</v>
      </c>
    </row>
    <row r="6" spans="1:7" ht="15" customHeight="1" x14ac:dyDescent="0.55000000000000004">
      <c r="B6" s="5" t="s">
        <v>17</v>
      </c>
      <c r="C6" s="3" t="s">
        <v>58</v>
      </c>
      <c r="D6" s="3" t="s">
        <v>32</v>
      </c>
      <c r="E6" s="6" t="s">
        <v>115</v>
      </c>
    </row>
    <row r="7" spans="1:7" ht="15" customHeight="1" x14ac:dyDescent="0.55000000000000004">
      <c r="B7" s="5" t="s">
        <v>19</v>
      </c>
      <c r="C7" s="3" t="s">
        <v>60</v>
      </c>
      <c r="D7" s="3" t="s">
        <v>28</v>
      </c>
      <c r="E7" s="6" t="s">
        <v>116</v>
      </c>
    </row>
    <row r="8" spans="1:7" ht="15" customHeight="1" thickBot="1" x14ac:dyDescent="0.6">
      <c r="B8" s="7" t="s">
        <v>21</v>
      </c>
      <c r="C8" s="8" t="s">
        <v>61</v>
      </c>
      <c r="D8" s="8" t="s">
        <v>29</v>
      </c>
      <c r="E8" s="9" t="s">
        <v>117</v>
      </c>
    </row>
    <row r="9" spans="1:7" ht="15" customHeight="1" thickBot="1" x14ac:dyDescent="0.6"/>
    <row r="10" spans="1:7" ht="15" customHeight="1" thickBot="1" x14ac:dyDescent="0.6">
      <c r="A10" s="58"/>
      <c r="B10" s="108" t="s">
        <v>120</v>
      </c>
      <c r="C10" s="109"/>
      <c r="D10" s="109"/>
      <c r="E10" s="110"/>
      <c r="F10" s="58"/>
      <c r="G10" s="58"/>
    </row>
    <row r="11" spans="1:7" x14ac:dyDescent="0.55000000000000004">
      <c r="A11" s="58"/>
      <c r="B11" s="26" t="s">
        <v>1</v>
      </c>
      <c r="C11" s="27" t="s">
        <v>68</v>
      </c>
      <c r="D11" s="27" t="s">
        <v>84</v>
      </c>
      <c r="E11" s="28" t="s">
        <v>87</v>
      </c>
      <c r="F11" s="58"/>
      <c r="G11" s="58"/>
    </row>
    <row r="12" spans="1:7" x14ac:dyDescent="0.55000000000000004">
      <c r="A12" s="58"/>
      <c r="B12" s="5" t="s">
        <v>22</v>
      </c>
      <c r="C12" s="3" t="s">
        <v>63</v>
      </c>
      <c r="D12" s="3" t="s">
        <v>43</v>
      </c>
      <c r="E12" s="6" t="s">
        <v>70</v>
      </c>
      <c r="F12" s="58"/>
      <c r="G12" s="58"/>
    </row>
    <row r="13" spans="1:7" x14ac:dyDescent="0.55000000000000004">
      <c r="A13" s="58"/>
      <c r="B13" s="5" t="s">
        <v>23</v>
      </c>
      <c r="C13" s="3" t="s">
        <v>64</v>
      </c>
      <c r="D13" s="3" t="s">
        <v>28</v>
      </c>
      <c r="E13" s="6" t="s">
        <v>28</v>
      </c>
      <c r="F13" s="58"/>
      <c r="G13" s="58"/>
    </row>
    <row r="14" spans="1:7" x14ac:dyDescent="0.55000000000000004">
      <c r="A14" s="58"/>
      <c r="B14" s="5" t="s">
        <v>24</v>
      </c>
      <c r="C14" s="3" t="s">
        <v>65</v>
      </c>
      <c r="D14" s="3" t="s">
        <v>30</v>
      </c>
      <c r="E14" s="6" t="s">
        <v>29</v>
      </c>
      <c r="F14" s="58"/>
      <c r="G14" s="58"/>
    </row>
    <row r="15" spans="1:7" ht="14.7" thickBot="1" x14ac:dyDescent="0.6">
      <c r="A15" s="58"/>
      <c r="B15" s="7" t="s">
        <v>25</v>
      </c>
      <c r="C15" s="8" t="s">
        <v>66</v>
      </c>
      <c r="D15" s="8" t="s">
        <v>32</v>
      </c>
      <c r="E15" s="9" t="s">
        <v>30</v>
      </c>
      <c r="F15" s="58"/>
      <c r="G15" s="58"/>
    </row>
    <row r="16" spans="1:7" ht="14.7" thickBot="1" x14ac:dyDescent="0.6">
      <c r="A16" s="58"/>
      <c r="B16" s="58"/>
      <c r="C16" s="58"/>
      <c r="D16" s="58"/>
      <c r="E16" s="58"/>
      <c r="F16" s="58"/>
      <c r="G16" s="58"/>
    </row>
    <row r="17" spans="1:12" ht="14.7" thickBot="1" x14ac:dyDescent="0.6">
      <c r="A17" s="58"/>
      <c r="B17" s="26" t="s">
        <v>1</v>
      </c>
      <c r="C17" s="27" t="s">
        <v>68</v>
      </c>
      <c r="D17" s="111" t="s">
        <v>69</v>
      </c>
      <c r="E17" s="112"/>
      <c r="G17" s="101" t="s">
        <v>151</v>
      </c>
      <c r="H17" s="102"/>
      <c r="I17" s="102"/>
      <c r="J17" s="102"/>
      <c r="K17" s="102"/>
      <c r="L17" s="103"/>
    </row>
    <row r="18" spans="1:12" ht="14.7" thickBot="1" x14ac:dyDescent="0.6">
      <c r="A18" s="58"/>
      <c r="B18" s="5" t="s">
        <v>12</v>
      </c>
      <c r="C18" s="3" t="s">
        <v>152</v>
      </c>
      <c r="D18" s="104" t="s">
        <v>152</v>
      </c>
      <c r="E18" s="105"/>
      <c r="G18" s="14"/>
      <c r="H18" s="15" t="s">
        <v>48</v>
      </c>
      <c r="I18" s="15" t="s">
        <v>49</v>
      </c>
      <c r="J18" s="15" t="s">
        <v>50</v>
      </c>
      <c r="K18" s="16" t="s">
        <v>51</v>
      </c>
      <c r="L18" s="16" t="s">
        <v>111</v>
      </c>
    </row>
    <row r="19" spans="1:12" x14ac:dyDescent="0.55000000000000004">
      <c r="A19" s="58"/>
      <c r="B19" s="5" t="s">
        <v>13</v>
      </c>
      <c r="C19" s="3" t="s">
        <v>54</v>
      </c>
      <c r="D19" s="104" t="s">
        <v>121</v>
      </c>
      <c r="E19" s="105"/>
      <c r="G19" s="69">
        <v>0</v>
      </c>
      <c r="H19" s="72" t="str">
        <f>'Question 5'!C4</f>
        <v>A</v>
      </c>
      <c r="I19" s="73" t="str">
        <f>'Question 5'!D4</f>
        <v>B</v>
      </c>
      <c r="J19" s="77" t="str">
        <f>'Question 5'!E4</f>
        <v>nop</v>
      </c>
      <c r="K19" s="78" t="str">
        <f>'Question 5'!F4</f>
        <v>nop</v>
      </c>
      <c r="L19" s="21" t="s">
        <v>33</v>
      </c>
    </row>
    <row r="20" spans="1:12" ht="14.7" thickBot="1" x14ac:dyDescent="0.6">
      <c r="A20" s="58"/>
      <c r="B20" s="5" t="s">
        <v>14</v>
      </c>
      <c r="C20" s="3" t="s">
        <v>55</v>
      </c>
      <c r="D20" s="104" t="s">
        <v>122</v>
      </c>
      <c r="E20" s="105"/>
      <c r="G20" s="70">
        <v>1</v>
      </c>
      <c r="H20" s="74" t="str">
        <f>'Question 5'!C5</f>
        <v>C</v>
      </c>
      <c r="I20" s="79" t="str">
        <f>'Question 5'!D5</f>
        <v>nop</v>
      </c>
      <c r="J20" s="79" t="str">
        <f>'Question 5'!E5</f>
        <v>nop</v>
      </c>
      <c r="K20" s="80" t="str">
        <f>'Question 5'!F5</f>
        <v>nop</v>
      </c>
      <c r="L20" s="25" t="s">
        <v>33</v>
      </c>
    </row>
    <row r="21" spans="1:12" x14ac:dyDescent="0.55000000000000004">
      <c r="A21" s="58"/>
      <c r="B21" s="5" t="s">
        <v>15</v>
      </c>
      <c r="C21" s="3" t="s">
        <v>56</v>
      </c>
      <c r="D21" s="104" t="s">
        <v>124</v>
      </c>
      <c r="E21" s="105"/>
      <c r="G21" s="69">
        <v>2</v>
      </c>
      <c r="H21" s="92" t="str">
        <f>'Question 5'!C6</f>
        <v>--</v>
      </c>
      <c r="I21" s="91" t="str">
        <f>'Question 5'!D6</f>
        <v>H</v>
      </c>
      <c r="J21" s="91" t="str">
        <f>'Question 5'!E6</f>
        <v>D</v>
      </c>
      <c r="K21" s="89" t="str">
        <f>'Question 5'!F6</f>
        <v>nop</v>
      </c>
      <c r="L21" s="57">
        <f>'Question 5'!G6</f>
        <v>0</v>
      </c>
    </row>
    <row r="22" spans="1:12" x14ac:dyDescent="0.55000000000000004">
      <c r="A22" s="58"/>
      <c r="B22" s="5" t="s">
        <v>16</v>
      </c>
      <c r="C22" s="3" t="s">
        <v>57</v>
      </c>
      <c r="D22" s="104" t="s">
        <v>123</v>
      </c>
      <c r="E22" s="105"/>
      <c r="G22" s="14">
        <v>3</v>
      </c>
      <c r="H22" s="96" t="str">
        <f>'Question 5'!C7</f>
        <v>I</v>
      </c>
      <c r="I22" s="82" t="str">
        <f>'Question 5'!D7</f>
        <v>nop</v>
      </c>
      <c r="J22" s="95" t="str">
        <f>'Question 5'!E7</f>
        <v>E</v>
      </c>
      <c r="K22" s="90" t="str">
        <f>'Question 5'!F7</f>
        <v>nop</v>
      </c>
      <c r="L22" s="55">
        <f>'Question 5'!G7</f>
        <v>0</v>
      </c>
    </row>
    <row r="23" spans="1:12" x14ac:dyDescent="0.55000000000000004">
      <c r="A23" s="58"/>
      <c r="B23" s="5" t="s">
        <v>17</v>
      </c>
      <c r="C23" s="3" t="s">
        <v>58</v>
      </c>
      <c r="D23" s="104" t="s">
        <v>125</v>
      </c>
      <c r="E23" s="105"/>
      <c r="G23" s="14">
        <v>4</v>
      </c>
      <c r="H23" s="83" t="str">
        <f>'Question 5'!C8</f>
        <v>nop</v>
      </c>
      <c r="I23" s="82" t="str">
        <f>'Question 5'!D8</f>
        <v>nop</v>
      </c>
      <c r="J23" s="100" t="str">
        <f>'Question 5'!E8</f>
        <v>--</v>
      </c>
      <c r="K23" s="97" t="str">
        <f>'Question 5'!F8</f>
        <v>J : loop 2</v>
      </c>
      <c r="L23" s="55">
        <f>'Question 5'!G8</f>
        <v>0</v>
      </c>
    </row>
    <row r="24" spans="1:12" x14ac:dyDescent="0.55000000000000004">
      <c r="A24" s="58"/>
      <c r="B24" s="5" t="s">
        <v>18</v>
      </c>
      <c r="C24" s="3" t="s">
        <v>59</v>
      </c>
      <c r="D24" s="104" t="s">
        <v>126</v>
      </c>
      <c r="E24" s="105"/>
      <c r="G24" s="14">
        <v>5</v>
      </c>
      <c r="H24" s="93" t="str">
        <f>'Question 5'!C9</f>
        <v>F</v>
      </c>
      <c r="I24" s="94" t="str">
        <f>'Question 5'!D9</f>
        <v>--</v>
      </c>
      <c r="J24" s="94" t="str">
        <f>'Question 5'!E9</f>
        <v>--</v>
      </c>
      <c r="K24" s="90" t="str">
        <f>'Question 5'!F9</f>
        <v>nop</v>
      </c>
      <c r="L24" s="55">
        <f>'Question 5'!G9</f>
        <v>1</v>
      </c>
    </row>
    <row r="25" spans="1:12" x14ac:dyDescent="0.55000000000000004">
      <c r="A25" s="58"/>
      <c r="B25" s="5" t="s">
        <v>19</v>
      </c>
      <c r="C25" s="3" t="s">
        <v>60</v>
      </c>
      <c r="D25" s="104" t="s">
        <v>127</v>
      </c>
      <c r="E25" s="105"/>
      <c r="G25" s="14">
        <v>6</v>
      </c>
      <c r="H25" s="96" t="str">
        <f>'Question 5'!C10</f>
        <v>--</v>
      </c>
      <c r="I25" s="82" t="str">
        <f>'Question 5'!D10</f>
        <v>nop</v>
      </c>
      <c r="J25" s="95" t="str">
        <f>'Question 5'!E10</f>
        <v>--</v>
      </c>
      <c r="K25" s="90" t="str">
        <f>'Question 5'!F10</f>
        <v>nop</v>
      </c>
      <c r="L25" s="55">
        <f>'Question 5'!G10</f>
        <v>1</v>
      </c>
    </row>
    <row r="26" spans="1:12" ht="14.7" thickBot="1" x14ac:dyDescent="0.6">
      <c r="B26" s="5" t="s">
        <v>21</v>
      </c>
      <c r="C26" s="3" t="s">
        <v>61</v>
      </c>
      <c r="D26" s="104" t="s">
        <v>128</v>
      </c>
      <c r="E26" s="105"/>
      <c r="G26" s="14">
        <v>7</v>
      </c>
      <c r="H26" s="84" t="str">
        <f>'Question 5'!C11</f>
        <v>nop</v>
      </c>
      <c r="I26" s="85" t="str">
        <f>'Question 5'!D11</f>
        <v>nop</v>
      </c>
      <c r="J26" s="99" t="str">
        <f>'Question 5'!E11</f>
        <v>G</v>
      </c>
      <c r="K26" s="98" t="str">
        <f>'Question 5'!F11</f>
        <v>--</v>
      </c>
      <c r="L26" s="56">
        <f>'Question 5'!G11</f>
        <v>1</v>
      </c>
    </row>
    <row r="27" spans="1:12" x14ac:dyDescent="0.55000000000000004">
      <c r="B27" s="5" t="s">
        <v>20</v>
      </c>
      <c r="C27" s="3" t="s">
        <v>62</v>
      </c>
      <c r="D27" s="104" t="s">
        <v>129</v>
      </c>
      <c r="E27" s="105"/>
      <c r="G27" s="69">
        <v>10</v>
      </c>
      <c r="H27" s="75" t="str">
        <f>'Question 5'!C12</f>
        <v>K</v>
      </c>
      <c r="I27" s="86" t="str">
        <f>'Question 5'!D12</f>
        <v>nop</v>
      </c>
      <c r="J27" s="76" t="str">
        <f>'Question 5'!E12</f>
        <v>L</v>
      </c>
      <c r="K27" s="87" t="str">
        <f>'Question 5'!F12</f>
        <v>nop</v>
      </c>
      <c r="L27" s="71" t="s">
        <v>33</v>
      </c>
    </row>
    <row r="28" spans="1:12" x14ac:dyDescent="0.55000000000000004">
      <c r="B28" s="5" t="s">
        <v>22</v>
      </c>
      <c r="C28" s="3" t="s">
        <v>63</v>
      </c>
      <c r="D28" s="104" t="s">
        <v>130</v>
      </c>
      <c r="E28" s="105"/>
      <c r="G28" s="14">
        <v>11</v>
      </c>
      <c r="H28" s="83" t="str">
        <f>'Question 5'!C13</f>
        <v>nop</v>
      </c>
      <c r="I28" s="82" t="str">
        <f>'Question 5'!D13</f>
        <v>nop</v>
      </c>
      <c r="J28" s="30" t="str">
        <f>'Question 5'!E13</f>
        <v>M</v>
      </c>
      <c r="K28" s="81" t="str">
        <f>'Question 5'!F13</f>
        <v>nop</v>
      </c>
      <c r="L28" s="71" t="s">
        <v>33</v>
      </c>
    </row>
    <row r="29" spans="1:12" x14ac:dyDescent="0.55000000000000004">
      <c r="B29" s="5" t="s">
        <v>23</v>
      </c>
      <c r="C29" s="3" t="s">
        <v>64</v>
      </c>
      <c r="D29" s="104" t="s">
        <v>131</v>
      </c>
      <c r="E29" s="105"/>
      <c r="G29" s="14">
        <v>12</v>
      </c>
      <c r="H29" s="83" t="str">
        <f>'Question 5'!C14</f>
        <v>nop</v>
      </c>
      <c r="I29" s="82" t="str">
        <f>'Question 5'!D14</f>
        <v>nop</v>
      </c>
      <c r="J29" s="82" t="str">
        <f>'Question 5'!E14</f>
        <v>nop</v>
      </c>
      <c r="K29" s="81" t="str">
        <f>'Question 5'!F14</f>
        <v>nop</v>
      </c>
      <c r="L29" s="71" t="s">
        <v>33</v>
      </c>
    </row>
    <row r="30" spans="1:12" x14ac:dyDescent="0.55000000000000004">
      <c r="B30" s="5" t="s">
        <v>24</v>
      </c>
      <c r="C30" s="3" t="s">
        <v>65</v>
      </c>
      <c r="D30" s="104" t="s">
        <v>73</v>
      </c>
      <c r="E30" s="105"/>
      <c r="G30" s="14">
        <v>13</v>
      </c>
      <c r="H30" s="67" t="str">
        <f>'Question 5'!C15</f>
        <v>N</v>
      </c>
      <c r="I30" s="82" t="str">
        <f>'Question 5'!D15</f>
        <v>nop</v>
      </c>
      <c r="J30" s="82" t="str">
        <f>'Question 5'!E15</f>
        <v>nop</v>
      </c>
      <c r="K30" s="81" t="str">
        <f>'Question 5'!F15</f>
        <v>nop</v>
      </c>
      <c r="L30" s="71" t="s">
        <v>33</v>
      </c>
    </row>
    <row r="31" spans="1:12" x14ac:dyDescent="0.55000000000000004">
      <c r="B31" s="5" t="s">
        <v>25</v>
      </c>
      <c r="C31" s="3" t="s">
        <v>66</v>
      </c>
      <c r="D31" s="104" t="s">
        <v>132</v>
      </c>
      <c r="E31" s="105"/>
      <c r="G31" s="14">
        <v>14</v>
      </c>
      <c r="H31" s="83" t="str">
        <f>'Question 5'!C16</f>
        <v>nop</v>
      </c>
      <c r="I31" s="82" t="str">
        <f>'Question 5'!D16</f>
        <v>nop</v>
      </c>
      <c r="J31" s="82" t="str">
        <f>'Question 5'!E16</f>
        <v>nop</v>
      </c>
      <c r="K31" s="81" t="str">
        <f>'Question 5'!F16</f>
        <v>nop</v>
      </c>
      <c r="L31" s="71" t="s">
        <v>33</v>
      </c>
    </row>
    <row r="32" spans="1:12" ht="14.7" thickBot="1" x14ac:dyDescent="0.6">
      <c r="B32" s="7" t="s">
        <v>26</v>
      </c>
      <c r="C32" s="8" t="s">
        <v>59</v>
      </c>
      <c r="D32" s="106" t="s">
        <v>133</v>
      </c>
      <c r="E32" s="107"/>
      <c r="G32" s="70">
        <v>15</v>
      </c>
      <c r="H32" s="84" t="str">
        <f>'Question 5'!C17</f>
        <v>nop</v>
      </c>
      <c r="I32" s="85" t="str">
        <f>'Question 5'!D17</f>
        <v>nop</v>
      </c>
      <c r="J32" s="32" t="str">
        <f>'Question 5'!E17</f>
        <v>O</v>
      </c>
      <c r="K32" s="88" t="str">
        <f>'Question 5'!F17</f>
        <v>nop</v>
      </c>
      <c r="L32" s="13" t="s">
        <v>33</v>
      </c>
    </row>
    <row r="33" spans="2:7" ht="14.7" thickBot="1" x14ac:dyDescent="0.6"/>
    <row r="34" spans="2:7" ht="14.7" thickBot="1" x14ac:dyDescent="0.6">
      <c r="B34" s="101" t="s">
        <v>150</v>
      </c>
      <c r="C34" s="102"/>
      <c r="D34" s="102"/>
      <c r="E34" s="102"/>
      <c r="F34" s="102"/>
      <c r="G34" s="103"/>
    </row>
    <row r="35" spans="2:7" ht="14.7" thickBot="1" x14ac:dyDescent="0.6">
      <c r="B35" s="14"/>
      <c r="C35" s="15" t="s">
        <v>48</v>
      </c>
      <c r="D35" s="15" t="s">
        <v>49</v>
      </c>
      <c r="E35" s="15" t="s">
        <v>50</v>
      </c>
      <c r="F35" s="16" t="s">
        <v>51</v>
      </c>
      <c r="G35" s="16" t="s">
        <v>111</v>
      </c>
    </row>
    <row r="36" spans="2:7" x14ac:dyDescent="0.55000000000000004">
      <c r="B36" s="17">
        <v>0</v>
      </c>
      <c r="C36" s="11" t="s">
        <v>152</v>
      </c>
      <c r="D36" s="11" t="s">
        <v>134</v>
      </c>
      <c r="E36" s="20" t="s">
        <v>53</v>
      </c>
      <c r="F36" s="21" t="s">
        <v>53</v>
      </c>
      <c r="G36" s="53" t="s">
        <v>33</v>
      </c>
    </row>
    <row r="37" spans="2:7" ht="14.7" thickBot="1" x14ac:dyDescent="0.6">
      <c r="B37" s="18">
        <v>1</v>
      </c>
      <c r="C37" s="12" t="s">
        <v>135</v>
      </c>
      <c r="D37" s="22" t="s">
        <v>53</v>
      </c>
      <c r="E37" s="22" t="s">
        <v>53</v>
      </c>
      <c r="F37" s="23" t="s">
        <v>53</v>
      </c>
      <c r="G37" s="54" t="s">
        <v>33</v>
      </c>
    </row>
    <row r="38" spans="2:7" x14ac:dyDescent="0.55000000000000004">
      <c r="B38" s="17">
        <v>2</v>
      </c>
      <c r="C38" s="45" t="s">
        <v>112</v>
      </c>
      <c r="D38" s="44" t="s">
        <v>140</v>
      </c>
      <c r="E38" s="44" t="s">
        <v>136</v>
      </c>
      <c r="F38" s="21" t="s">
        <v>53</v>
      </c>
      <c r="G38" s="57">
        <v>0</v>
      </c>
    </row>
    <row r="39" spans="2:7" x14ac:dyDescent="0.55000000000000004">
      <c r="B39" s="19">
        <v>3</v>
      </c>
      <c r="C39" s="47" t="s">
        <v>141</v>
      </c>
      <c r="D39" s="24" t="s">
        <v>53</v>
      </c>
      <c r="E39" s="48" t="s">
        <v>137</v>
      </c>
      <c r="F39" s="25" t="s">
        <v>53</v>
      </c>
      <c r="G39" s="55">
        <v>0</v>
      </c>
    </row>
    <row r="40" spans="2:7" x14ac:dyDescent="0.55000000000000004">
      <c r="B40" s="19">
        <v>4</v>
      </c>
      <c r="C40" s="24" t="s">
        <v>53</v>
      </c>
      <c r="D40" s="24" t="s">
        <v>53</v>
      </c>
      <c r="E40" s="49" t="s">
        <v>112</v>
      </c>
      <c r="F40" s="46" t="s">
        <v>52</v>
      </c>
      <c r="G40" s="55">
        <v>0</v>
      </c>
    </row>
    <row r="41" spans="2:7" x14ac:dyDescent="0.55000000000000004">
      <c r="B41" s="19">
        <v>5</v>
      </c>
      <c r="C41" s="50" t="s">
        <v>138</v>
      </c>
      <c r="D41" s="51" t="s">
        <v>112</v>
      </c>
      <c r="E41" s="51" t="s">
        <v>112</v>
      </c>
      <c r="F41" s="25" t="s">
        <v>53</v>
      </c>
      <c r="G41" s="55">
        <v>1</v>
      </c>
    </row>
    <row r="42" spans="2:7" x14ac:dyDescent="0.55000000000000004">
      <c r="B42" s="19">
        <v>6</v>
      </c>
      <c r="C42" s="47" t="s">
        <v>112</v>
      </c>
      <c r="D42" s="24" t="s">
        <v>53</v>
      </c>
      <c r="E42" s="47" t="s">
        <v>112</v>
      </c>
      <c r="F42" s="25" t="s">
        <v>53</v>
      </c>
      <c r="G42" s="55">
        <v>1</v>
      </c>
    </row>
    <row r="43" spans="2:7" ht="14.7" thickBot="1" x14ac:dyDescent="0.6">
      <c r="B43" s="19">
        <v>7</v>
      </c>
      <c r="C43" s="24" t="s">
        <v>53</v>
      </c>
      <c r="D43" s="24" t="s">
        <v>53</v>
      </c>
      <c r="E43" s="52" t="s">
        <v>139</v>
      </c>
      <c r="F43" s="46" t="s">
        <v>112</v>
      </c>
      <c r="G43" s="56">
        <v>1</v>
      </c>
    </row>
    <row r="44" spans="2:7" x14ac:dyDescent="0.55000000000000004">
      <c r="B44" s="17">
        <v>10</v>
      </c>
      <c r="C44" s="11" t="s">
        <v>130</v>
      </c>
      <c r="D44" s="20" t="s">
        <v>53</v>
      </c>
      <c r="E44" s="11" t="s">
        <v>142</v>
      </c>
      <c r="F44" s="21" t="s">
        <v>53</v>
      </c>
      <c r="G44" s="55" t="s">
        <v>33</v>
      </c>
    </row>
    <row r="45" spans="2:7" x14ac:dyDescent="0.55000000000000004">
      <c r="B45" s="19">
        <v>11</v>
      </c>
      <c r="C45" s="24" t="s">
        <v>53</v>
      </c>
      <c r="D45" s="24" t="s">
        <v>53</v>
      </c>
      <c r="E45" s="10" t="s">
        <v>73</v>
      </c>
      <c r="F45" s="25" t="s">
        <v>53</v>
      </c>
      <c r="G45" s="55" t="s">
        <v>33</v>
      </c>
    </row>
    <row r="46" spans="2:7" x14ac:dyDescent="0.55000000000000004">
      <c r="B46" s="19">
        <v>12</v>
      </c>
      <c r="C46" s="24" t="s">
        <v>53</v>
      </c>
      <c r="D46" s="24" t="s">
        <v>53</v>
      </c>
      <c r="E46" s="24" t="s">
        <v>53</v>
      </c>
      <c r="F46" s="25" t="s">
        <v>53</v>
      </c>
      <c r="G46" s="55" t="s">
        <v>33</v>
      </c>
    </row>
    <row r="47" spans="2:7" x14ac:dyDescent="0.55000000000000004">
      <c r="B47" s="19">
        <v>13</v>
      </c>
      <c r="C47" s="35" t="s">
        <v>132</v>
      </c>
      <c r="D47" s="24" t="s">
        <v>53</v>
      </c>
      <c r="E47" s="24" t="s">
        <v>53</v>
      </c>
      <c r="F47" s="25" t="s">
        <v>53</v>
      </c>
      <c r="G47" s="55" t="s">
        <v>33</v>
      </c>
    </row>
    <row r="48" spans="2:7" x14ac:dyDescent="0.55000000000000004">
      <c r="B48" s="19">
        <v>14</v>
      </c>
      <c r="C48" s="24" t="s">
        <v>53</v>
      </c>
      <c r="D48" s="24" t="s">
        <v>53</v>
      </c>
      <c r="E48" s="24" t="s">
        <v>53</v>
      </c>
      <c r="F48" s="25" t="s">
        <v>53</v>
      </c>
      <c r="G48" s="55" t="s">
        <v>33</v>
      </c>
    </row>
    <row r="49" spans="2:7" ht="14.7" thickBot="1" x14ac:dyDescent="0.6">
      <c r="B49" s="18">
        <v>15</v>
      </c>
      <c r="C49" s="22" t="s">
        <v>53</v>
      </c>
      <c r="D49" s="22" t="s">
        <v>53</v>
      </c>
      <c r="E49" s="34" t="s">
        <v>143</v>
      </c>
      <c r="F49" s="23" t="s">
        <v>53</v>
      </c>
      <c r="G49" s="56" t="s">
        <v>33</v>
      </c>
    </row>
  </sheetData>
  <mergeCells count="20">
    <mergeCell ref="B2:E2"/>
    <mergeCell ref="B10:E10"/>
    <mergeCell ref="D17:E17"/>
    <mergeCell ref="D18:E18"/>
    <mergeCell ref="D19:E19"/>
    <mergeCell ref="G17:L17"/>
    <mergeCell ref="D31:E31"/>
    <mergeCell ref="D32:E32"/>
    <mergeCell ref="B34:G34"/>
    <mergeCell ref="D25:E25"/>
    <mergeCell ref="D26:E26"/>
    <mergeCell ref="D27:E27"/>
    <mergeCell ref="D28:E28"/>
    <mergeCell ref="D29:E29"/>
    <mergeCell ref="D30:E30"/>
    <mergeCell ref="D24:E24"/>
    <mergeCell ref="D20:E20"/>
    <mergeCell ref="D21:E21"/>
    <mergeCell ref="D22:E22"/>
    <mergeCell ref="D23:E2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Question 1</vt:lpstr>
      <vt:lpstr>Question 2</vt:lpstr>
      <vt:lpstr>Question 3</vt:lpstr>
      <vt:lpstr>Question 4</vt:lpstr>
      <vt:lpstr>Question 5</vt:lpstr>
      <vt:lpstr>Question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PACCAUD</dc:creator>
  <cp:lastModifiedBy>Roman PACCAUD</cp:lastModifiedBy>
  <dcterms:created xsi:type="dcterms:W3CDTF">2026-02-17T16:36:17Z</dcterms:created>
  <dcterms:modified xsi:type="dcterms:W3CDTF">2026-04-07T13:22:05Z</dcterms:modified>
</cp:coreProperties>
</file>